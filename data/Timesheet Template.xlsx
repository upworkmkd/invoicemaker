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vember" sheetId="1" r:id="rId4"/>
    <sheet state="visible" name="December" sheetId="2" r:id="rId5"/>
    <sheet state="visible" name="January 2026" sheetId="3" r:id="rId6"/>
    <sheet state="visible" name="Copy of January 2026" sheetId="4" r:id="rId7"/>
  </sheets>
  <definedNames/>
  <calcPr/>
  <extLst>
    <ext uri="GoogleSheetsCustomDataVersion2">
      <go:sheetsCustomData xmlns:go="http://customooxmlschemas.google.com/" r:id="rId8" roundtripDataChecksum="u2gXTAXX11FxMtDrWlGPLtl+jcAfh367n/AMCL0FXis="/>
    </ext>
  </extLst>
</workbook>
</file>

<file path=xl/sharedStrings.xml><?xml version="1.0" encoding="utf-8"?>
<sst xmlns="http://schemas.openxmlformats.org/spreadsheetml/2006/main" count="128" uniqueCount="74">
  <si>
    <t>Date</t>
  </si>
  <si>
    <t>Tasks Owner</t>
  </si>
  <si>
    <t>Date &amp; Day</t>
  </si>
  <si>
    <t>Tasks</t>
  </si>
  <si>
    <t>Efforts Invested (in Hours)</t>
  </si>
  <si>
    <t>Additional Notes/ Comments</t>
  </si>
  <si>
    <t>Week 1</t>
  </si>
  <si>
    <t>PSP-464: Matomo and vector integration</t>
  </si>
  <si>
    <t xml:space="preserve">PSP-863: vector webhook refector, Vector Webhook and integration 
PSP-464 : Matomo plugin development </t>
  </si>
  <si>
    <t>PSP-653: Added sorting as per the task description in the front end.
PSP-870: create a leadpack if not already there for Site visits.</t>
  </si>
  <si>
    <t>PSP-871 - CST - Data Management - Dedupe and Normalise (In Progress)
PSP-870 - CST - Data Management - Create Lead Pack (Self check)
PSP-863 - Matomo Tracking not working on production (Self check)</t>
  </si>
  <si>
    <t>Total</t>
  </si>
  <si>
    <t>Week 2</t>
  </si>
  <si>
    <t>PSP-653 - adding enrich and add to lead pack
psp 870: completed testing on dev server</t>
  </si>
  <si>
    <t>Mailu SMTP issue on production server</t>
  </si>
  <si>
    <t>PSP-648 - Update pages for the signal menu according to the user. Now simple user will see only their visits, and admin users can see all with a dropdown selector for each client
PSP-653 - Enrich and analyse the option for the identified lead</t>
  </si>
  <si>
    <t>PSP-871 → Added lead with real webhook data in Site Visitor Leadpack.
PSP-653 → Updated column data and styling to better align with the design specs.
Git PR comments resolved</t>
  </si>
  <si>
    <t>PSP-932 -&gt; Completed: Updated Visitors Table to use Mantine ScrollArea with sticky header, removed email/phone columns, fixed ellipsis menu cut-off, and converted drawer to inline resizable sidebar with header controls (X, Expand, Scroll), social media icons, and purple tab backgrounds.
In Progress: remaining tasks include making sections collapsible/moveable and updating Account, Campaign, and Notes tab content to match reference implementations.
PSP-648 -&gt; Tested this visitor tracking on dev and production for the features that are deployed. Workign fine.</t>
  </si>
  <si>
    <t>Week 3</t>
  </si>
  <si>
    <t>PSP-932 -&gt; Account intelegenec, lead and site visitor modifications</t>
  </si>
  <si>
    <t>PSP-932: Worked on the account intelligence reflector to use existing methods and resolve other PR commits.</t>
  </si>
  <si>
    <t>PSP-931 -&gt; visitor pages date range defaults to 90 days instead of 7 days
PSP-932 -&gt; Visits Page - Visitors Table - Updates</t>
  </si>
  <si>
    <t>PSP-648 -&gt; updated PSP script tester logic
PSP-947 -&gt; started working on the news signal and created the database schema for the same 
PSP-954 -&gt; Sentry: prospectory-api AxiosError 401 Unauthorised repeatedly reported</t>
  </si>
  <si>
    <t xml:space="preserve">PSP-957 -&gt; Tested with AdBlocker and seems to be working
PSP-648 -&gt; Added a webhook signing secret for the vector webhook for security. </t>
  </si>
  <si>
    <t>Week 4</t>
  </si>
  <si>
    <t>PSP-947 -&gt; database structure for news signals
PSP-948, PSP-949, PSP-952, PSP-953, PSP-964 -&gt; reviewed the work and added the estimation for development and testing</t>
  </si>
  <si>
    <t>PSP-964 -&gt; working on populating data on demo account. Added the verified account data, and am working on adding for Matomo. We are getting stats directly from Matamo, so I am bypassing this if the client is a demo client. Ashish is working on the dev branch, so can not push it today also need some testing on local</t>
  </si>
  <si>
    <t>PSP-964 -&gt; Demo data mocks for production on-site visitor
PSP-464 -&gt; Have a discussion and collaborated with @Akshin Mustafayev on Matamo setup.</t>
  </si>
  <si>
    <t>PSP-464 -&gt; Coordinated with DevOps to set up Matomo. It is done for now. It starts sending open tracking on the webhook. But not updating in DB, troubleshooting this.
Vector configuration: updated the prospectory vector account, configured the webhooks to get the identified visitors
Tested the new lead flow on the Matomo site, visitors look good so far</t>
  </si>
  <si>
    <t>Grand Total</t>
  </si>
  <si>
    <t>Psp-464: after matamo plugin install open tracking was not working and it was due to restrictions in tracking logic. It was blocking the requests and treating every request as automated requests. Fix this as hotfix on production
2. Got an request from louie regarding smtp and imap not working. Did the test on my end and was working fine.</t>
  </si>
  <si>
    <t>PSP-995 -&gt; Update signing secret and backfill missing data from matomo/vector -&gt; in progress
PSP-464 -&gt; Completed the testing and updated with development and tested -&gt; In code review
PSP-964 -&gt; Merged hotfix into develop and removed the conflicts from the develop branch, tested on local -&gt;testing</t>
  </si>
  <si>
    <t>PSP-931 -&gt; Working on this one, updated the bugs on my local; some bugs are pending. Due to the database reset, I had to set this again in my local environment. It is all set now and will be completed by tomorrow.  
PSP-995 -&gt; Added the webhook secrets and other updates in the vector webhook setup. Will test them and submit PR for all.</t>
  </si>
  <si>
    <t>PSP-931 -&gt; Fixed the stats discrepancy between the chart and stat boxes - returning visitors and bounced visitors now match correctly. Also improved the chart display: removed scroll, better bar spacing, and cleaner tooltips. Getting some issues in the front-end code push (ESLint error ) In Progress</t>
  </si>
  <si>
    <t>PSP-931 updated front front-end code in PR it was displaying a lot of issues, and that was a cache issue. resolved all of them and am doing some final testing
PSP-653 -&gt; chart page updates . In progress</t>
  </si>
  <si>
    <t>1. Worked on Mailu Server issue with Akshin and collaborated with him on troubleshooting and fixes
PSP-931 -&gt; Worked on PR comments and other feedback changes-&gt; completed
PSP-653 -&gt; Worked on visitor tables updates. Done locally and doing some final testing to make sure all good.
Also, for some reason, Matomo and vector data are not combining, looking into that as well. Because of this
Some properties are not pulling up</t>
  </si>
  <si>
    <t>PSP-931 -&gt; Completed. Fixed some PR comments. It's taking a long time because there are some lint errors in other files that are not related to Site visitor tracking.
PSP-653 -&gt; Completed but didn't push code because getting same lint errors that i had for 931 so this can be merged once 931 is merged into main.</t>
  </si>
  <si>
    <t>PSP-931 -&gt; Sitevisitor hotfixes ( Completed )
PSP-653 -&gt; Sitevisitor hotfix v2 (Completed)
I checked why warmup is not working for all emails after optimisation</t>
  </si>
  <si>
    <t>Tested warmup issue on dev after removing all hard bounce due to the outage in the mail u server, and it's working again now.
PSP-995 -&gt; Implemented webhook signing secret in the vector webhook to secure it.
PSP-1056 -&gt; Looking into this issue. On local i was't able to replicate, and on dev not able to createa campaign posted in the dev group. Will look into this.</t>
  </si>
  <si>
    <t xml:space="preserve">PSP-995 -&gt; Integrated webhook signing secret for vector webhook </t>
  </si>
  <si>
    <t>PSP-1056 -&gt; Worked on click event updates and open tracking updates. For testing, doing a local setup with ngrok so we can test this in future as well. Getting some issues with Google on using ngrock url in apps. Will be looking into this.</t>
  </si>
  <si>
    <t>PSP-1056 -&gt; Worked on the click and open event for third party via Matomo PR submitted for review. Also tried to set up this whole infrastructure on my local with ngrok, but because we do not have a pro account, it gives a limitednumber of  requests in the free plan, and that is exhausted because we need to run 3 instances (front end, backend and Matomo)</t>
  </si>
  <si>
    <t>PSP-1056 -&gt; Tested open and click events on dev server. There were some issues in Matomo deployment, fixed all of them, and now it should be working @Louie Solis please test that
PSP-1070 -&gt; I am looking into this. SES and Mailu setup is a little complicated and is done by Akber. I need to check and collect al information before changing this for the first time. Looking into this, once I have good information i will rotate them and will make a process moving forward
Other than this i got the ngrok subscription and setup local environment with this. Testing the email infrastructure will be easier now.</t>
  </si>
  <si>
    <t>PSP-993 -&gt; Done. Pr submitted for review
PSP-977 -&gt; Done. Pr submitted for review
worked on Email infra local setup with webhook and ngrok. Setup is done, and testing email functionalities to make sure it is working well. Also creating a setup guide document so it can be easily set up within a local environment for other developers as well.
Other than this worked on tickets PSP-1045, PSP-1056 on testing them on dev server.</t>
  </si>
  <si>
    <t>PSP-1070 -&gt; Removed 1 old Key. Checking the usage of others in the project so we can rotate this safely.
PSP-993 -&gt; On a small issue in testing with the signup form. The validation message was on page load. Fixed and PR submitted
3. checked the hard bounce email on production due to the outrage in the mail server, and provide query to Illia to clear those records.
4. Added visitor tracking script to our build script to generate the script on deployment based on the environment.</t>
  </si>
  <si>
    <t xml:space="preserve">PSP-653 -&gt; hotfix for identified visitor count showing 0 on production Pr raised for review 
PSP-653 -&gt; Add identified lead to other leadpacks - In progress 
PSP-1056 -&gt; Looking into this issue when some of the emails are delivered to the wrong email address. replicated on local, working on the fix
Deployed and tested the tracking script on production and tested </t>
  </si>
  <si>
    <t xml:space="preserve">PSP-1109 -&gt; Wrong Recipient to dev sandbox behaviour: with THIRD_PARTY_SANDBOX_MODE=1 and a truthy apolloId, email sending redirects To = campaign owner (user.email), while analytics/UI still shows destination = lead email, creating the mismatch. Verified with DB exports (ActivityFeed.destination + CampaignLeadMailData.emailInbox.to.address). Proposed fix: use actual sent-to address in activity/analytics (or persist recipientEmail) so UI matches delivery.
PSP-653 -&gt; a. Worked on the issue with the identified visitor count showing as 0
b. Worked on a missing feature to add an identified visitor to the leadpack. </t>
  </si>
  <si>
    <t>PSP-653 -&gt; Tested and hotfix moved to production. Looking good
PSP-947 -&gt; created database design for news feed data.
PSP-948 -&gt; Integrated the Serper API and tested the integration on local</t>
  </si>
  <si>
    <t>Week 5</t>
  </si>
  <si>
    <t xml:space="preserve">PSP-948 -&gt; added Serper API configuration, data, and scheduled event to save the data into tables 
PSP-931 -&gt; Some translations were missing in the code. Added and raised a hotfix to main. </t>
  </si>
  <si>
    <t xml:space="preserve">PSP-947 -&gt; made some database changes. Completed PR submitted 
PSP-948 -&gt; Serper API data ingestion done. PR submitted for review
PSP-949 -&gt; Content storage is done in the database. </t>
  </si>
  <si>
    <t xml:space="preserve">Updates :
PSP-653 -&gt; matomo enrichment issue diogonose </t>
  </si>
  <si>
    <t>Updates :
PSP-653 -&gt; Hotfix to main. There was an issue in enriching the identified visitor data from Matomo, so some of the data was not pulling like device information, time spent, etc. @Matt Haag this is done and waiting for @illia Lisitsa to deploy that on prod
PSP-952 -&gt; Working on news feed data to show on front end, but didn't get much time on this because of hotfix 653. Will resume on this tomorrow.</t>
  </si>
  <si>
    <t>PSP-1141 -&gt; checked issue with custom domain and need database clearance becasue of outrage in emal server.
shared query toi illia for databsae clearence
PSP-952 -&gt; working on the front end to display News feed. Waiting on @Shivani Kakrecha to know what we use in chat.prospectory.ai so i can configure this accordingly</t>
  </si>
  <si>
    <t>PSP-1070 -&gt; worked with Aman to get the SMTP key rotated but before rotating this need to test it on dev. Not able to test becasue all the dev domains emails are in warming up state . checkign the toor cauise</t>
  </si>
  <si>
    <t xml:space="preserve">PSP-1070: Colllabs with devops team on Rotating the keys but still blocked on deleting the records from dev database . not able to run delete query and it is taking foreaver to just delete one record from DB need proper access to delete this </t>
  </si>
  <si>
    <t>PSP-1141 -&gt; Cleared the database orphan records that were created during the email server outrage. There was send events but not deliver so the domain email reputation was very low(~70), and even with warmup, it wasn't able to reach above 90. So cleared the records fromthe database manualy. I am setting up this locally and then will be able to add some code to make sure if there is any downtime, we never go into this situation, and we got some alert on this.
PSP-1070 -&gt; No emails are working, and there is no blocker. I did the testing. So once @Aman Singh creates a new key for dev I will do a testing with that access key to make sure it is good on the dev server before rotating it on production</t>
  </si>
  <si>
    <t>PSP-1070 -&gt; Worked with Aman on this, but the deployment failed because of some other env variable. Asked Illia to look into this.
PSP-931 -&gt; Fixed the alignment issue PR raised.
PSP-932 -&gt; Working on this. It has some missing points for site visitors. Working on them and this is in progress.</t>
  </si>
  <si>
    <t>1- Collab with Dilip and Priyanshu on the KT of email module and local setup
2- PSP-653 and PSP-932 to work on the fixes In-progress
3- PSP-1070 worked with Aman on Ip pool rotation and Key rotation. Done on Dev and test env and verified. Tomorrow will deploy this on prod.
4- PSP-931 - done and tested</t>
  </si>
  <si>
    <t>PSP-1070 -&gt; Updated the access keys in SES, mailu relay configuration. It is a tricky setup and all done except the SMTP and IMAP relay forwarding. We updated the access keys on dev, but for some reason, SES doesn't accept the incoming requests from mailu server. @Aman Singh is looking into this, and this is the final blocker in this task.
PSP-932 -&gt; Worked on the QA feedback. Most of the stuff is done locally, and I am doing some final testing. Once done will push the hotfix to production.</t>
  </si>
  <si>
    <t>PSP-1070 -&gt; completed the access key rotation after a lot of effort. It is done for SES, mailu and all. Tested everything on dev and prod with custom domain email in campaign, SMTP, replies, open/click rates, etc. Moved this to testing so @Louie Solis can do a final round of testing in this.
PSP-932 -&gt; In progress, most of the items are done locally. 1 task is pending to add multiple selected identified leads into the lead source other than the site visitor. will be done by tomorrow</t>
  </si>
  <si>
    <t>Collab with @Priyanshu Rathore on resolving his blocker in setting up emails, matomo and other integrations on his local machine. Completed 
Created documentation and pushed to GitHub for the email local infra setup PR raised 
PSP-932 -&gt; Worked on hotfix and completed the QA comments PR raised to review. Will create a Jam video tomorrow for that.</t>
  </si>
  <si>
    <t>KT session with Dilip and Priyanshu on Email infra- 1 hr
PSP-932 -&gt; PR feedback changes and other bug fixes in my testing. Resubmit PRs
PSP-1206 -&gt; santry issue fixed</t>
  </si>
  <si>
    <t>Collab with Priyanshu on the understanding of how email tracking works with Matomo and third-party.
PSP-932 &amp; PSP-653 -&gt; Tested this hotfix on test and dev and found some missing styles on the front end. Fixed them and raised Pa R for merging.  Completed.</t>
  </si>
  <si>
    <t>Collab with Priyanshu and Dilip on Matomo information on how to call the webhook. For some reason matomo doesn't track it on his local machine.
PSP-1213 -&gt; Worked on the sentry error for Gmail webhook. I was able to replicate this on my side, but looking for a proper solution. Previously, I bypassed the 401 error because we refreshed the token, so if the token has expired. We get this error one time. I do not want to check the access token prior to send email because that will add another check in the email sending campaign that will be called every time. Trying a couple of tricks to fix this with the cursor. 
PSP-932 &amp; PSP-653 -&gt; Tested the hotfixes on prod created jav video and attached it with tasks for testing</t>
  </si>
  <si>
    <t>Meeting - Email Module Code Review. Discussed the email tracking and flow with Priyanshu and Denis
PSP-932 -&gt; Retuned ticket and raised a bugfix for the same. It was for design. Updated the tab design to match the account intelligence page. Previously, it was with the other lead page designs
PSP-1213 -&gt; added the hotfix for this Sentry error. Although raised PR for review but need some more testing on local.</t>
  </si>
  <si>
    <t xml:space="preserve">1. Collab with aman on automated access key rotation 
2. PSP-1213 -&gt; tested this hotfix on production </t>
  </si>
  <si>
    <t xml:space="preserve">PSP-824 -&gt; Worked on a hotfix to fix date issues on the campaign dashboard page 
PSP-1033 -&gt; I did the testing on all environments. Working fine till now. Will test them again tomorrow to replicate these issues. 
PSP-1212 -&gt; checked the sentry issues, and this is a valid case. </t>
  </si>
  <si>
    <t xml:space="preserve">Sat work to complete previous day work because of electricty outrage </t>
  </si>
  <si>
    <t>1. warmup engine modification discussion with team 
2. PSP-824 -&gt; update campaign dashboard page data</t>
  </si>
  <si>
    <t>1. Discussion on warmup with team 
2. PSP-1213 -&gt; return ticket due to not working. Working on this with different reliable approach- in progress</t>
  </si>
  <si>
    <t xml:space="preserve">PSP-1213 -&gt; update codebase and better access token management, added a pre-check for access token prior to sending email, or fetch inbox to prevent the error. Also added filters in the retry mechanism so it does not throw a Sentry error if we retry and generate the access token from the refresh token. 
PSP-1251 -&gt; Tested this and working fine on my side. It might be an internet issue because it was just one occurrence of this issue in Sentry. will keem my eye on this 
PSP-1212 -&gt; @Alex Babita @Matt Haag i added my comment on this. This is a valid case. Let me know if we need to prevent this on Sentry.
Meeting with Dilip and priyanshu on email discussion </t>
  </si>
  <si>
    <t>Email discussion meeting with Priyanshi Dilip and team 
PSP-1213 -&gt; Worked on the fix and added retry and access code regeneration process on the master inbox as well. Testing locally to make sure every edge case is handled. Should be completed tomorrow.
PSP-1268 -&gt; checked this issue, and this can be due to some dev extension or something code looks good.</t>
  </si>
  <si>
    <t>worked with Aman to test and verify the domain migration from mails.invoicesmarter.com to dev-email.prospectory.ai, so not mail u dev is on our subdomain. 
PSP-1213 -&gt; tested and verified the fixes on dev and pre-prod for this access token, fixes on Google and Microsoft connected accounts. In some areas, automatic access token generation was missing. So now we have access token expiry date in the table for Google and Microsoft, which was missing, and there was 1 extra API call every time it expired (token life was 1 hour), and in some places it was missing, so there was inconsistancy in inbox messages, inbox replies and webhook, but now it should work good  cc @illia Lisitsa it is tested and i added before and after jam video on ticket itself
PSP-1033 -&gt; Fixed with PSP-1213 because if the access token is expired, the system is unable to get inbox replies with the webhook, added a retrywithrefreshtoken if expired for this.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</si>
</sst>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0.0"/>
  </numFmts>
  <fonts count="7">
    <font>
      <sz val="10.0"/>
      <color rgb="FF000000"/>
      <name val="Times New Roman"/>
      <scheme val="minor"/>
    </font>
    <font>
      <b/>
      <sz val="8.0"/>
      <color theme="1"/>
      <name val="Tahoma"/>
    </font>
    <font>
      <sz val="8.0"/>
      <color rgb="FF000000"/>
      <name val="Times New Roman"/>
    </font>
    <font>
      <sz val="8.0"/>
      <color rgb="FF000000"/>
      <name val="Arial"/>
    </font>
    <font>
      <sz val="8.0"/>
      <color theme="1"/>
      <name val="Arial"/>
    </font>
    <font/>
    <font>
      <b/>
      <sz val="8.0"/>
      <color rgb="FF000000"/>
      <name val="Arial"/>
    </font>
  </fonts>
  <fills count="4">
    <fill>
      <patternFill patternType="none"/>
    </fill>
    <fill>
      <patternFill patternType="lightGray"/>
    </fill>
    <fill>
      <patternFill patternType="solid">
        <fgColor rgb="FFFFFF00"/>
        <bgColor rgb="FFFFFF00"/>
      </patternFill>
    </fill>
    <fill>
      <patternFill patternType="solid">
        <fgColor rgb="FFD9EAD3"/>
        <bgColor rgb="FFD9EAD3"/>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2">
    <xf borderId="0" fillId="0" fontId="0" numFmtId="0" xfId="0" applyAlignment="1" applyFont="1">
      <alignment horizontal="left" readingOrder="0" shrinkToFit="0" vertical="top" wrapText="0"/>
    </xf>
    <xf borderId="1" fillId="2" fontId="1" numFmtId="0" xfId="0" applyAlignment="1" applyBorder="1" applyFill="1" applyFont="1">
      <alignment horizontal="center" shrinkToFit="0" vertical="top" wrapText="1"/>
    </xf>
    <xf borderId="1" fillId="2" fontId="1" numFmtId="0" xfId="0" applyAlignment="1" applyBorder="1" applyFont="1">
      <alignment horizontal="left" shrinkToFit="0" vertical="top" wrapText="1"/>
    </xf>
    <xf borderId="0" fillId="0" fontId="2" numFmtId="0" xfId="0" applyAlignment="1" applyFont="1">
      <alignment horizontal="left" vertical="top"/>
    </xf>
    <xf borderId="2" fillId="0" fontId="3" numFmtId="164" xfId="0" applyAlignment="1" applyBorder="1" applyFont="1" applyNumberFormat="1">
      <alignment horizontal="center" shrinkToFit="1" vertical="center" wrapText="0"/>
    </xf>
    <xf borderId="1" fillId="0" fontId="4" numFmtId="165" xfId="0" applyAlignment="1" applyBorder="1" applyFont="1" applyNumberFormat="1">
      <alignment horizontal="left" readingOrder="0" shrinkToFit="0" vertical="top" wrapText="1"/>
    </xf>
    <xf borderId="1" fillId="0" fontId="4" numFmtId="0" xfId="0" applyAlignment="1" applyBorder="1" applyFont="1">
      <alignment horizontal="left" readingOrder="0" shrinkToFit="0" vertical="top" wrapText="1"/>
    </xf>
    <xf borderId="1" fillId="3" fontId="3" numFmtId="166" xfId="0" applyAlignment="1" applyBorder="1" applyFill="1" applyFont="1" applyNumberFormat="1">
      <alignment horizontal="center" readingOrder="0" shrinkToFit="1" vertical="top" wrapText="0"/>
    </xf>
    <xf borderId="1" fillId="0" fontId="2" numFmtId="0" xfId="0" applyAlignment="1" applyBorder="1" applyFont="1">
      <alignment horizontal="left" shrinkToFit="0" vertical="bottom" wrapText="1"/>
    </xf>
    <xf borderId="3" fillId="0" fontId="5" numFmtId="0" xfId="0" applyAlignment="1" applyBorder="1" applyFont="1">
      <alignment horizontal="left" vertical="top"/>
    </xf>
    <xf borderId="1" fillId="0" fontId="4" numFmtId="0" xfId="0" applyAlignment="1" applyBorder="1" applyFont="1">
      <alignment horizontal="left" shrinkToFit="0" vertical="top" wrapText="1"/>
    </xf>
    <xf borderId="4" fillId="0" fontId="5" numFmtId="0" xfId="0" applyAlignment="1" applyBorder="1" applyFont="1">
      <alignment horizontal="left" vertical="top"/>
    </xf>
    <xf borderId="5" fillId="3" fontId="3" numFmtId="1" xfId="0" applyAlignment="1" applyBorder="1" applyFont="1" applyNumberFormat="1">
      <alignment horizontal="center" readingOrder="0" shrinkToFit="1" vertical="top" wrapText="0"/>
    </xf>
    <xf borderId="3" fillId="0" fontId="3" numFmtId="164" xfId="0" applyAlignment="1" applyBorder="1" applyFont="1" applyNumberFormat="1">
      <alignment horizontal="center" shrinkToFit="1" vertical="center" wrapText="0"/>
    </xf>
    <xf borderId="3" fillId="0" fontId="4" numFmtId="0" xfId="0" applyAlignment="1" applyBorder="1" applyFont="1">
      <alignment horizontal="left" shrinkToFit="0" vertical="bottom" wrapText="1"/>
    </xf>
    <xf borderId="2" fillId="0" fontId="4" numFmtId="0" xfId="0" applyAlignment="1" applyBorder="1" applyFont="1">
      <alignment horizontal="left" shrinkToFit="0" vertical="top" wrapText="1"/>
    </xf>
    <xf borderId="6" fillId="0" fontId="4" numFmtId="0" xfId="0" applyAlignment="1" applyBorder="1" applyFont="1">
      <alignment horizontal="left" shrinkToFit="0" vertical="top" wrapText="1"/>
    </xf>
    <xf borderId="1" fillId="3" fontId="6" numFmtId="1" xfId="0" applyAlignment="1" applyBorder="1" applyFont="1" applyNumberFormat="1">
      <alignment horizontal="center" shrinkToFit="1" vertical="top" wrapText="0"/>
    </xf>
    <xf borderId="7" fillId="2" fontId="6" numFmtId="164" xfId="0" applyAlignment="1" applyBorder="1" applyFont="1" applyNumberFormat="1">
      <alignment horizontal="center" shrinkToFit="1" vertical="center" wrapText="0"/>
    </xf>
    <xf borderId="7" fillId="3" fontId="6" numFmtId="1" xfId="0" applyAlignment="1" applyBorder="1" applyFont="1" applyNumberFormat="1">
      <alignment horizontal="center" shrinkToFit="1" vertical="top" wrapText="0"/>
    </xf>
    <xf borderId="2" fillId="0" fontId="3" numFmtId="0" xfId="0" applyAlignment="1" applyBorder="1" applyFont="1">
      <alignment horizontal="center" readingOrder="0" shrinkToFit="1" vertical="center" wrapText="0"/>
    </xf>
    <xf borderId="1" fillId="0" fontId="2" numFmtId="0" xfId="0" applyAlignment="1" applyBorder="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8.29"/>
    <col customWidth="1" min="3" max="3" width="24.0"/>
    <col customWidth="1" min="4" max="4" width="62.0"/>
    <col customWidth="1" min="5" max="5" width="16.43"/>
    <col customWidth="1" min="6" max="6" width="17.86"/>
    <col customWidth="1" min="7" max="26" width="8.71"/>
  </cols>
  <sheetData>
    <row r="1" ht="11.25" customHeight="1">
      <c r="A1" s="1" t="s">
        <v>0</v>
      </c>
      <c r="B1" s="2" t="s">
        <v>1</v>
      </c>
      <c r="C1" s="1" t="s">
        <v>2</v>
      </c>
      <c r="D1" s="1" t="s">
        <v>3</v>
      </c>
      <c r="E1" s="1" t="s">
        <v>4</v>
      </c>
      <c r="F1" s="2" t="s">
        <v>5</v>
      </c>
      <c r="G1" s="3"/>
      <c r="H1" s="3"/>
      <c r="I1" s="3"/>
      <c r="J1" s="3"/>
      <c r="K1" s="3"/>
      <c r="L1" s="3"/>
      <c r="M1" s="3"/>
      <c r="N1" s="3"/>
      <c r="O1" s="3"/>
      <c r="P1" s="3"/>
      <c r="Q1" s="3"/>
      <c r="R1" s="3"/>
      <c r="S1" s="3"/>
      <c r="T1" s="3"/>
      <c r="U1" s="3"/>
      <c r="V1" s="3"/>
      <c r="W1" s="3"/>
      <c r="X1" s="3"/>
      <c r="Y1" s="3"/>
      <c r="Z1" s="3"/>
    </row>
    <row r="2" ht="11.25" customHeight="1">
      <c r="A2" s="4" t="s">
        <v>6</v>
      </c>
      <c r="C2" s="5">
        <v>45964.0</v>
      </c>
      <c r="D2" s="6"/>
      <c r="E2" s="7"/>
      <c r="F2" s="8"/>
      <c r="G2" s="3"/>
      <c r="H2" s="3"/>
      <c r="I2" s="3"/>
      <c r="J2" s="3"/>
      <c r="K2" s="3"/>
      <c r="L2" s="3"/>
      <c r="M2" s="3"/>
      <c r="N2" s="3"/>
      <c r="O2" s="3"/>
      <c r="P2" s="3"/>
      <c r="Q2" s="3"/>
      <c r="R2" s="3"/>
      <c r="S2" s="3"/>
      <c r="T2" s="3"/>
      <c r="U2" s="3"/>
      <c r="V2" s="3"/>
      <c r="W2" s="3"/>
      <c r="X2" s="3"/>
      <c r="Y2" s="3"/>
      <c r="Z2" s="3"/>
    </row>
    <row r="3" ht="11.25" customHeight="1">
      <c r="A3" s="9"/>
      <c r="B3" s="10"/>
      <c r="C3" s="5">
        <v>45965.0</v>
      </c>
      <c r="D3" s="6" t="s">
        <v>7</v>
      </c>
      <c r="E3" s="7">
        <v>3.0</v>
      </c>
      <c r="F3" s="8"/>
      <c r="G3" s="3"/>
      <c r="H3" s="3"/>
      <c r="I3" s="3"/>
      <c r="J3" s="3"/>
      <c r="K3" s="3"/>
      <c r="L3" s="3"/>
      <c r="M3" s="3"/>
      <c r="N3" s="3"/>
      <c r="O3" s="3"/>
      <c r="P3" s="3"/>
      <c r="Q3" s="3"/>
      <c r="R3" s="3"/>
      <c r="S3" s="3"/>
      <c r="T3" s="3"/>
      <c r="U3" s="3"/>
      <c r="V3" s="3"/>
      <c r="W3" s="3"/>
      <c r="X3" s="3"/>
      <c r="Y3" s="3"/>
      <c r="Z3" s="3"/>
    </row>
    <row r="4" ht="11.25" customHeight="1">
      <c r="A4" s="9"/>
      <c r="B4" s="10"/>
      <c r="C4" s="5">
        <v>45966.0</v>
      </c>
      <c r="D4" s="6" t="s">
        <v>8</v>
      </c>
      <c r="E4" s="7">
        <v>3.0</v>
      </c>
      <c r="F4" s="8"/>
      <c r="G4" s="3"/>
      <c r="H4" s="3"/>
      <c r="I4" s="3"/>
      <c r="J4" s="3"/>
      <c r="K4" s="3"/>
      <c r="L4" s="3"/>
      <c r="M4" s="3"/>
      <c r="N4" s="3"/>
      <c r="O4" s="3"/>
      <c r="P4" s="3"/>
      <c r="Q4" s="3"/>
      <c r="R4" s="3"/>
      <c r="S4" s="3"/>
      <c r="T4" s="3"/>
      <c r="U4" s="3"/>
      <c r="V4" s="3"/>
      <c r="W4" s="3"/>
      <c r="X4" s="3"/>
      <c r="Y4" s="3"/>
      <c r="Z4" s="3"/>
    </row>
    <row r="5" ht="11.25" customHeight="1">
      <c r="A5" s="9"/>
      <c r="B5" s="10"/>
      <c r="C5" s="5">
        <v>45967.0</v>
      </c>
      <c r="D5" s="6" t="s">
        <v>9</v>
      </c>
      <c r="E5" s="7">
        <v>3.0</v>
      </c>
      <c r="F5" s="8"/>
      <c r="G5" s="3"/>
      <c r="H5" s="3"/>
      <c r="I5" s="3"/>
      <c r="J5" s="3"/>
      <c r="K5" s="3"/>
      <c r="L5" s="3"/>
      <c r="M5" s="3"/>
      <c r="N5" s="3"/>
      <c r="O5" s="3"/>
      <c r="P5" s="3"/>
      <c r="Q5" s="3"/>
      <c r="R5" s="3"/>
      <c r="S5" s="3"/>
      <c r="T5" s="3"/>
      <c r="U5" s="3"/>
      <c r="V5" s="3"/>
      <c r="W5" s="3"/>
      <c r="X5" s="3"/>
      <c r="Y5" s="3"/>
      <c r="Z5" s="3"/>
    </row>
    <row r="6" ht="11.25" customHeight="1">
      <c r="A6" s="11"/>
      <c r="B6" s="10"/>
      <c r="C6" s="5">
        <v>45968.0</v>
      </c>
      <c r="D6" s="6" t="s">
        <v>10</v>
      </c>
      <c r="E6" s="12">
        <v>3.0</v>
      </c>
      <c r="F6" s="8"/>
      <c r="G6" s="3"/>
      <c r="H6" s="3"/>
      <c r="I6" s="3"/>
      <c r="J6" s="3"/>
      <c r="K6" s="3"/>
      <c r="L6" s="3"/>
      <c r="M6" s="3"/>
      <c r="N6" s="3"/>
      <c r="O6" s="3"/>
      <c r="P6" s="3"/>
      <c r="Q6" s="3"/>
      <c r="R6" s="3"/>
      <c r="S6" s="3"/>
      <c r="T6" s="3"/>
      <c r="U6" s="3"/>
      <c r="V6" s="3"/>
      <c r="W6" s="3"/>
      <c r="X6" s="3"/>
      <c r="Y6" s="3"/>
      <c r="Z6" s="3"/>
    </row>
    <row r="7" ht="11.25" customHeight="1">
      <c r="A7" s="13" t="s">
        <v>11</v>
      </c>
      <c r="B7" s="14"/>
      <c r="C7" s="15"/>
      <c r="D7" s="16"/>
      <c r="E7" s="17">
        <f>SUM(E2:E6)</f>
        <v>12</v>
      </c>
      <c r="F7" s="8"/>
      <c r="G7" s="3"/>
      <c r="H7" s="3"/>
      <c r="I7" s="3"/>
      <c r="J7" s="3"/>
      <c r="K7" s="3"/>
      <c r="L7" s="3"/>
      <c r="M7" s="3"/>
      <c r="N7" s="3"/>
      <c r="O7" s="3"/>
      <c r="P7" s="3"/>
      <c r="Q7" s="3"/>
      <c r="R7" s="3"/>
      <c r="S7" s="3"/>
      <c r="T7" s="3"/>
      <c r="U7" s="3"/>
      <c r="V7" s="3"/>
      <c r="W7" s="3"/>
      <c r="X7" s="3"/>
      <c r="Y7" s="3"/>
      <c r="Z7" s="3"/>
    </row>
    <row r="8" ht="11.25" customHeight="1">
      <c r="A8" s="4" t="s">
        <v>12</v>
      </c>
      <c r="B8" s="10"/>
      <c r="C8" s="5">
        <v>45971.0</v>
      </c>
      <c r="D8" s="6" t="s">
        <v>13</v>
      </c>
      <c r="E8" s="7">
        <v>3.0</v>
      </c>
      <c r="F8" s="8"/>
      <c r="G8" s="3"/>
      <c r="H8" s="3"/>
      <c r="I8" s="3"/>
      <c r="J8" s="3"/>
      <c r="K8" s="3"/>
      <c r="L8" s="3"/>
      <c r="M8" s="3"/>
      <c r="N8" s="3"/>
      <c r="O8" s="3"/>
      <c r="P8" s="3"/>
      <c r="Q8" s="3"/>
      <c r="R8" s="3"/>
      <c r="S8" s="3"/>
      <c r="T8" s="3"/>
      <c r="U8" s="3"/>
      <c r="V8" s="3"/>
      <c r="W8" s="3"/>
      <c r="X8" s="3"/>
      <c r="Y8" s="3"/>
      <c r="Z8" s="3"/>
    </row>
    <row r="9" ht="11.25" customHeight="1">
      <c r="A9" s="9"/>
      <c r="B9" s="10"/>
      <c r="C9" s="5">
        <v>45972.0</v>
      </c>
      <c r="D9" s="6" t="s">
        <v>14</v>
      </c>
      <c r="E9" s="7">
        <v>3.0</v>
      </c>
      <c r="F9" s="8"/>
      <c r="G9" s="3"/>
      <c r="H9" s="3"/>
      <c r="I9" s="3"/>
      <c r="J9" s="3"/>
      <c r="K9" s="3"/>
      <c r="L9" s="3"/>
      <c r="M9" s="3"/>
      <c r="N9" s="3"/>
      <c r="O9" s="3"/>
      <c r="P9" s="3"/>
      <c r="Q9" s="3"/>
      <c r="R9" s="3"/>
      <c r="S9" s="3"/>
      <c r="T9" s="3"/>
      <c r="U9" s="3"/>
      <c r="V9" s="3"/>
      <c r="W9" s="3"/>
      <c r="X9" s="3"/>
      <c r="Y9" s="3"/>
      <c r="Z9" s="3"/>
    </row>
    <row r="10" ht="11.25" customHeight="1">
      <c r="A10" s="9"/>
      <c r="B10" s="10"/>
      <c r="C10" s="5">
        <v>45973.0</v>
      </c>
      <c r="D10" s="6" t="s">
        <v>15</v>
      </c>
      <c r="E10" s="7">
        <v>3.0</v>
      </c>
      <c r="F10" s="8"/>
      <c r="G10" s="3"/>
      <c r="H10" s="3"/>
      <c r="I10" s="3"/>
      <c r="J10" s="3"/>
      <c r="K10" s="3"/>
      <c r="L10" s="3"/>
      <c r="M10" s="3"/>
      <c r="N10" s="3"/>
      <c r="O10" s="3"/>
      <c r="P10" s="3"/>
      <c r="Q10" s="3"/>
      <c r="R10" s="3"/>
      <c r="S10" s="3"/>
      <c r="T10" s="3"/>
      <c r="U10" s="3"/>
      <c r="V10" s="3"/>
      <c r="W10" s="3"/>
      <c r="X10" s="3"/>
      <c r="Y10" s="3"/>
      <c r="Z10" s="3"/>
    </row>
    <row r="11" ht="11.25" customHeight="1">
      <c r="A11" s="9"/>
      <c r="B11" s="10"/>
      <c r="C11" s="5">
        <v>45974.0</v>
      </c>
      <c r="D11" s="6" t="s">
        <v>16</v>
      </c>
      <c r="E11" s="7">
        <v>3.0</v>
      </c>
      <c r="F11" s="8"/>
      <c r="G11" s="3"/>
      <c r="H11" s="3"/>
      <c r="I11" s="3"/>
      <c r="J11" s="3"/>
      <c r="K11" s="3"/>
      <c r="L11" s="3"/>
      <c r="M11" s="3"/>
      <c r="N11" s="3"/>
      <c r="O11" s="3"/>
      <c r="P11" s="3"/>
      <c r="Q11" s="3"/>
      <c r="R11" s="3"/>
      <c r="S11" s="3"/>
      <c r="T11" s="3"/>
      <c r="U11" s="3"/>
      <c r="V11" s="3"/>
      <c r="W11" s="3"/>
      <c r="X11" s="3"/>
      <c r="Y11" s="3"/>
      <c r="Z11" s="3"/>
    </row>
    <row r="12" ht="11.25" customHeight="1">
      <c r="A12" s="11"/>
      <c r="B12" s="10"/>
      <c r="C12" s="5">
        <v>45975.0</v>
      </c>
      <c r="D12" s="6" t="s">
        <v>17</v>
      </c>
      <c r="E12" s="7">
        <v>3.0</v>
      </c>
      <c r="F12" s="8"/>
      <c r="G12" s="3"/>
      <c r="H12" s="3"/>
      <c r="I12" s="3"/>
      <c r="J12" s="3"/>
      <c r="K12" s="3"/>
      <c r="L12" s="3"/>
      <c r="M12" s="3"/>
      <c r="N12" s="3"/>
      <c r="O12" s="3"/>
      <c r="P12" s="3"/>
      <c r="Q12" s="3"/>
      <c r="R12" s="3"/>
      <c r="S12" s="3"/>
      <c r="T12" s="3"/>
      <c r="U12" s="3"/>
      <c r="V12" s="3"/>
      <c r="W12" s="3"/>
      <c r="X12" s="3"/>
      <c r="Y12" s="3"/>
      <c r="Z12" s="3"/>
    </row>
    <row r="13" ht="11.25" customHeight="1">
      <c r="A13" s="13" t="s">
        <v>11</v>
      </c>
      <c r="B13" s="14"/>
      <c r="C13" s="15"/>
      <c r="D13" s="16"/>
      <c r="E13" s="17">
        <f>SUM(E8:E12)</f>
        <v>15</v>
      </c>
      <c r="F13" s="8"/>
      <c r="G13" s="3"/>
      <c r="H13" s="3"/>
      <c r="I13" s="3"/>
      <c r="J13" s="3"/>
      <c r="K13" s="3"/>
      <c r="L13" s="3"/>
      <c r="M13" s="3"/>
      <c r="N13" s="3"/>
      <c r="O13" s="3"/>
      <c r="P13" s="3"/>
      <c r="Q13" s="3"/>
      <c r="R13" s="3"/>
      <c r="S13" s="3"/>
      <c r="T13" s="3"/>
      <c r="U13" s="3"/>
      <c r="V13" s="3"/>
      <c r="W13" s="3"/>
      <c r="X13" s="3"/>
      <c r="Y13" s="3"/>
      <c r="Z13" s="3"/>
    </row>
    <row r="14" ht="11.25" customHeight="1">
      <c r="A14" s="4" t="s">
        <v>18</v>
      </c>
      <c r="B14" s="10"/>
      <c r="C14" s="5">
        <v>45978.0</v>
      </c>
      <c r="D14" s="6" t="s">
        <v>19</v>
      </c>
      <c r="E14" s="7">
        <v>3.0</v>
      </c>
      <c r="F14" s="8"/>
      <c r="G14" s="3"/>
      <c r="H14" s="3"/>
      <c r="I14" s="3"/>
      <c r="J14" s="3"/>
      <c r="K14" s="3"/>
      <c r="L14" s="3"/>
      <c r="M14" s="3"/>
      <c r="N14" s="3"/>
      <c r="O14" s="3"/>
      <c r="P14" s="3"/>
      <c r="Q14" s="3"/>
      <c r="R14" s="3"/>
      <c r="S14" s="3"/>
      <c r="T14" s="3"/>
      <c r="U14" s="3"/>
      <c r="V14" s="3"/>
      <c r="W14" s="3"/>
      <c r="X14" s="3"/>
      <c r="Y14" s="3"/>
      <c r="Z14" s="3"/>
    </row>
    <row r="15" ht="11.25" customHeight="1">
      <c r="A15" s="9"/>
      <c r="B15" s="10"/>
      <c r="C15" s="5">
        <v>45979.0</v>
      </c>
      <c r="D15" s="6" t="s">
        <v>20</v>
      </c>
      <c r="E15" s="7">
        <v>3.0</v>
      </c>
      <c r="F15" s="8"/>
      <c r="G15" s="3"/>
      <c r="H15" s="3"/>
      <c r="I15" s="3"/>
      <c r="J15" s="3"/>
      <c r="K15" s="3"/>
      <c r="L15" s="3"/>
      <c r="M15" s="3"/>
      <c r="N15" s="3"/>
      <c r="O15" s="3"/>
      <c r="P15" s="3"/>
      <c r="Q15" s="3"/>
      <c r="R15" s="3"/>
      <c r="S15" s="3"/>
      <c r="T15" s="3"/>
      <c r="U15" s="3"/>
      <c r="V15" s="3"/>
      <c r="W15" s="3"/>
      <c r="X15" s="3"/>
      <c r="Y15" s="3"/>
      <c r="Z15" s="3"/>
    </row>
    <row r="16" ht="11.25" customHeight="1">
      <c r="A16" s="9"/>
      <c r="B16" s="10"/>
      <c r="C16" s="5">
        <v>45980.0</v>
      </c>
      <c r="D16" s="6" t="s">
        <v>21</v>
      </c>
      <c r="E16" s="7">
        <v>3.0</v>
      </c>
      <c r="F16" s="8"/>
      <c r="G16" s="3"/>
      <c r="H16" s="3"/>
      <c r="I16" s="3"/>
      <c r="J16" s="3"/>
      <c r="K16" s="3"/>
      <c r="L16" s="3"/>
      <c r="M16" s="3"/>
      <c r="N16" s="3"/>
      <c r="O16" s="3"/>
      <c r="P16" s="3"/>
      <c r="Q16" s="3"/>
      <c r="R16" s="3"/>
      <c r="S16" s="3"/>
      <c r="T16" s="3"/>
      <c r="U16" s="3"/>
      <c r="V16" s="3"/>
      <c r="W16" s="3"/>
      <c r="X16" s="3"/>
      <c r="Y16" s="3"/>
      <c r="Z16" s="3"/>
    </row>
    <row r="17" ht="11.25" customHeight="1">
      <c r="A17" s="9"/>
      <c r="B17" s="10"/>
      <c r="C17" s="5">
        <v>45981.0</v>
      </c>
      <c r="D17" s="6" t="s">
        <v>22</v>
      </c>
      <c r="E17" s="7">
        <v>3.0</v>
      </c>
      <c r="F17" s="8"/>
      <c r="G17" s="3"/>
      <c r="H17" s="3"/>
      <c r="I17" s="3"/>
      <c r="J17" s="3"/>
      <c r="K17" s="3"/>
      <c r="L17" s="3"/>
      <c r="M17" s="3"/>
      <c r="N17" s="3"/>
      <c r="O17" s="3"/>
      <c r="P17" s="3"/>
      <c r="Q17" s="3"/>
      <c r="R17" s="3"/>
      <c r="S17" s="3"/>
      <c r="T17" s="3"/>
      <c r="U17" s="3"/>
      <c r="V17" s="3"/>
      <c r="W17" s="3"/>
      <c r="X17" s="3"/>
      <c r="Y17" s="3"/>
      <c r="Z17" s="3"/>
    </row>
    <row r="18" ht="11.25" customHeight="1">
      <c r="A18" s="11"/>
      <c r="B18" s="10"/>
      <c r="C18" s="5">
        <v>45982.0</v>
      </c>
      <c r="D18" s="6" t="s">
        <v>23</v>
      </c>
      <c r="E18" s="7">
        <v>3.0</v>
      </c>
      <c r="F18" s="8"/>
      <c r="G18" s="3"/>
      <c r="H18" s="3"/>
      <c r="I18" s="3"/>
      <c r="J18" s="3"/>
      <c r="K18" s="3"/>
      <c r="L18" s="3"/>
      <c r="M18" s="3"/>
      <c r="N18" s="3"/>
      <c r="O18" s="3"/>
      <c r="P18" s="3"/>
      <c r="Q18" s="3"/>
      <c r="R18" s="3"/>
      <c r="S18" s="3"/>
      <c r="T18" s="3"/>
      <c r="U18" s="3"/>
      <c r="V18" s="3"/>
      <c r="W18" s="3"/>
      <c r="X18" s="3"/>
      <c r="Y18" s="3"/>
      <c r="Z18" s="3"/>
    </row>
    <row r="19" ht="11.25" customHeight="1">
      <c r="A19" s="13" t="s">
        <v>11</v>
      </c>
      <c r="B19" s="14"/>
      <c r="C19" s="15"/>
      <c r="D19" s="16"/>
      <c r="E19" s="17">
        <f>SUM(E14:E18)</f>
        <v>15</v>
      </c>
      <c r="F19" s="8"/>
      <c r="G19" s="3"/>
      <c r="H19" s="3"/>
      <c r="I19" s="3"/>
      <c r="J19" s="3"/>
      <c r="K19" s="3"/>
      <c r="L19" s="3"/>
      <c r="M19" s="3"/>
      <c r="N19" s="3"/>
      <c r="O19" s="3"/>
      <c r="P19" s="3"/>
      <c r="Q19" s="3"/>
      <c r="R19" s="3"/>
      <c r="S19" s="3"/>
      <c r="T19" s="3"/>
      <c r="U19" s="3"/>
      <c r="V19" s="3"/>
      <c r="W19" s="3"/>
      <c r="X19" s="3"/>
      <c r="Y19" s="3"/>
      <c r="Z19" s="3"/>
    </row>
    <row r="20" ht="11.25" customHeight="1">
      <c r="A20" s="4" t="s">
        <v>24</v>
      </c>
      <c r="B20" s="10"/>
      <c r="C20" s="5">
        <v>45985.0</v>
      </c>
      <c r="D20" s="10"/>
      <c r="E20" s="7">
        <v>0.0</v>
      </c>
      <c r="F20" s="8"/>
      <c r="G20" s="3"/>
      <c r="H20" s="3"/>
      <c r="I20" s="3"/>
      <c r="J20" s="3"/>
      <c r="K20" s="3"/>
      <c r="L20" s="3"/>
      <c r="M20" s="3"/>
      <c r="N20" s="3"/>
      <c r="O20" s="3"/>
      <c r="P20" s="3"/>
      <c r="Q20" s="3"/>
      <c r="R20" s="3"/>
      <c r="S20" s="3"/>
      <c r="T20" s="3"/>
      <c r="U20" s="3"/>
      <c r="V20" s="3"/>
      <c r="W20" s="3"/>
      <c r="X20" s="3"/>
      <c r="Y20" s="3"/>
      <c r="Z20" s="3"/>
    </row>
    <row r="21" ht="11.25" customHeight="1">
      <c r="A21" s="9"/>
      <c r="B21" s="10"/>
      <c r="C21" s="5">
        <v>45986.0</v>
      </c>
      <c r="D21" s="6" t="s">
        <v>25</v>
      </c>
      <c r="E21" s="7">
        <v>3.0</v>
      </c>
      <c r="F21" s="8"/>
      <c r="G21" s="3"/>
      <c r="H21" s="3"/>
      <c r="I21" s="3"/>
      <c r="J21" s="3"/>
      <c r="K21" s="3"/>
      <c r="L21" s="3"/>
      <c r="M21" s="3"/>
      <c r="N21" s="3"/>
      <c r="O21" s="3"/>
      <c r="P21" s="3"/>
      <c r="Q21" s="3"/>
      <c r="R21" s="3"/>
      <c r="S21" s="3"/>
      <c r="T21" s="3"/>
      <c r="U21" s="3"/>
      <c r="V21" s="3"/>
      <c r="W21" s="3"/>
      <c r="X21" s="3"/>
      <c r="Y21" s="3"/>
      <c r="Z21" s="3"/>
    </row>
    <row r="22" ht="11.25" customHeight="1">
      <c r="A22" s="9"/>
      <c r="B22" s="10"/>
      <c r="C22" s="5">
        <v>45987.0</v>
      </c>
      <c r="D22" s="6" t="s">
        <v>26</v>
      </c>
      <c r="E22" s="7">
        <v>3.0</v>
      </c>
      <c r="F22" s="8"/>
      <c r="G22" s="3"/>
      <c r="H22" s="3"/>
      <c r="I22" s="3"/>
      <c r="J22" s="3"/>
      <c r="K22" s="3"/>
      <c r="L22" s="3"/>
      <c r="M22" s="3"/>
      <c r="N22" s="3"/>
      <c r="O22" s="3"/>
      <c r="P22" s="3"/>
      <c r="Q22" s="3"/>
      <c r="R22" s="3"/>
      <c r="S22" s="3"/>
      <c r="T22" s="3"/>
      <c r="U22" s="3"/>
      <c r="V22" s="3"/>
      <c r="W22" s="3"/>
      <c r="X22" s="3"/>
      <c r="Y22" s="3"/>
      <c r="Z22" s="3"/>
    </row>
    <row r="23" ht="11.25" customHeight="1">
      <c r="A23" s="9"/>
      <c r="B23" s="10"/>
      <c r="C23" s="5">
        <v>45988.0</v>
      </c>
      <c r="D23" s="6" t="s">
        <v>27</v>
      </c>
      <c r="E23" s="7">
        <v>4.0</v>
      </c>
      <c r="F23" s="8"/>
      <c r="G23" s="3"/>
      <c r="H23" s="3"/>
      <c r="I23" s="3"/>
      <c r="J23" s="3"/>
      <c r="K23" s="3"/>
      <c r="L23" s="3"/>
      <c r="M23" s="3"/>
      <c r="N23" s="3"/>
      <c r="O23" s="3"/>
      <c r="P23" s="3"/>
      <c r="Q23" s="3"/>
      <c r="R23" s="3"/>
      <c r="S23" s="3"/>
      <c r="T23" s="3"/>
      <c r="U23" s="3"/>
      <c r="V23" s="3"/>
      <c r="W23" s="3"/>
      <c r="X23" s="3"/>
      <c r="Y23" s="3"/>
      <c r="Z23" s="3"/>
    </row>
    <row r="24" ht="11.25" customHeight="1">
      <c r="A24" s="11"/>
      <c r="B24" s="10"/>
      <c r="C24" s="5">
        <v>45989.0</v>
      </c>
      <c r="D24" s="6" t="s">
        <v>28</v>
      </c>
      <c r="E24" s="7">
        <v>3.0</v>
      </c>
      <c r="F24" s="8"/>
      <c r="G24" s="3"/>
      <c r="H24" s="3"/>
      <c r="I24" s="3"/>
      <c r="J24" s="3"/>
      <c r="K24" s="3"/>
      <c r="L24" s="3"/>
      <c r="M24" s="3"/>
      <c r="N24" s="3"/>
      <c r="O24" s="3"/>
      <c r="P24" s="3"/>
      <c r="Q24" s="3"/>
      <c r="R24" s="3"/>
      <c r="S24" s="3"/>
      <c r="T24" s="3"/>
      <c r="U24" s="3"/>
      <c r="V24" s="3"/>
      <c r="W24" s="3"/>
      <c r="X24" s="3"/>
      <c r="Y24" s="3"/>
      <c r="Z24" s="3"/>
    </row>
    <row r="25" ht="11.25" customHeight="1">
      <c r="A25" s="13" t="s">
        <v>11</v>
      </c>
      <c r="B25" s="14"/>
      <c r="C25" s="5"/>
      <c r="D25" s="16"/>
      <c r="E25" s="17">
        <f>SUM(E20:E24)</f>
        <v>13</v>
      </c>
      <c r="F25" s="8"/>
      <c r="G25" s="3"/>
      <c r="H25" s="3"/>
      <c r="I25" s="3"/>
      <c r="J25" s="3"/>
      <c r="K25" s="3"/>
      <c r="L25" s="3"/>
      <c r="M25" s="3"/>
      <c r="N25" s="3"/>
      <c r="O25" s="3"/>
      <c r="P25" s="3"/>
      <c r="Q25" s="3"/>
      <c r="R25" s="3"/>
      <c r="S25" s="3"/>
      <c r="T25" s="3"/>
      <c r="U25" s="3"/>
      <c r="V25" s="3"/>
      <c r="W25" s="3"/>
      <c r="X25" s="3"/>
      <c r="Y25" s="3"/>
      <c r="Z25" s="3"/>
    </row>
    <row r="26" ht="11.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1.25" customHeight="1">
      <c r="A27" s="3"/>
      <c r="B27" s="3"/>
      <c r="C27" s="3"/>
      <c r="D27" s="18" t="s">
        <v>29</v>
      </c>
      <c r="E27" s="19">
        <f>SUM(E25+E19+E13+E7)</f>
        <v>55</v>
      </c>
      <c r="F27" s="3"/>
      <c r="G27" s="3"/>
      <c r="H27" s="3"/>
      <c r="I27" s="3"/>
      <c r="J27" s="3"/>
      <c r="K27" s="3"/>
      <c r="L27" s="3"/>
      <c r="M27" s="3"/>
      <c r="N27" s="3"/>
      <c r="O27" s="3"/>
      <c r="P27" s="3"/>
      <c r="Q27" s="3"/>
      <c r="R27" s="3"/>
      <c r="S27" s="3"/>
      <c r="T27" s="3"/>
      <c r="U27" s="3"/>
      <c r="V27" s="3"/>
      <c r="W27" s="3"/>
      <c r="X27" s="3"/>
      <c r="Y27" s="3"/>
      <c r="Z27" s="3"/>
    </row>
    <row r="28" ht="11.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1.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1.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1.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1.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1.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1.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1.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1.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1.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1.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1.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1.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1.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1.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1.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1.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1.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1.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1.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1.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1.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1.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1.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1.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1.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1.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1.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1.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1.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1.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1.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1.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1.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1.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1.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1.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1.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1.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1.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1.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1.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1.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1.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1.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1.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1.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1.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1.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1.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1.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1.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1.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1.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1.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1.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1.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1.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1.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1.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1.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1.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1.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1.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1.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1.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1.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1.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1.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1.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1.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1.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1.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1.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1.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1.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1.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1.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1.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1.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1.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1.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1.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1.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1.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1.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1.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1.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1.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1.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1.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1.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1.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1.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1.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1.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1.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1.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1.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1.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1.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1.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1.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1.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1.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1.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1.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1.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1.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1.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1.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1.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1.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1.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1.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1.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1.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1.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1.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1.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1.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1.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1.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1.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1.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1.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1.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1.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1.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1.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1.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1.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1.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1.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1.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1.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1.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1.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1.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1.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1.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1.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1.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1.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1.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1.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1.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1.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1.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1.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1.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1.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1.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1.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1.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1.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1.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1.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1.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1.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1.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1.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1.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1.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1.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1.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1.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1.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1.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1.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1.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1.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1.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1.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1.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1.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1.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1.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1.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1.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1.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1.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1.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1.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1.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1.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1.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1.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1.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1.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1.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1.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1.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1.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1.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1.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1.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1.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1.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1.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1.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1.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1.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1.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1.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1.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1.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1.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1.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1.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1.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1.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1.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1.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1.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1.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1.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1.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1.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1.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1.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1.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1.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1.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1.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1.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1.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1.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1.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1.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1.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1.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1.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1.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1.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1.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1.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1.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1.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1.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1.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1.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1.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1.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1.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1.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1.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1.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1.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1.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1.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1.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1.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1.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1.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1.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1.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1.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1.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1.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1.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1.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1.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1.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1.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1.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1.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1.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1.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1.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1.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1.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1.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1.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1.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1.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1.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1.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1.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1.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1.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1.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1.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1.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1.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1.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1.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1.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1.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1.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1.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1.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1.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1.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1.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1.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1.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1.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1.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1.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1.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1.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1.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1.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1.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1.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1.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1.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1.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1.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1.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1.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1.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1.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1.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1.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1.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1.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1.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1.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1.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1.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1.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1.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1.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1.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1.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1.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1.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1.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1.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1.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1.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1.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1.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1.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1.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1.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1.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1.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1.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1.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1.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1.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1.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1.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1.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1.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1.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1.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1.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1.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1.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1.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1.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1.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1.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1.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1.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1.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1.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1.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1.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1.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1.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1.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1.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1.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1.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1.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1.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1.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1.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1.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1.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1.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1.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1.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1.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1.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1.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1.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1.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1.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1.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1.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1.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1.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1.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1.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1.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1.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1.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1.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1.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1.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1.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1.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1.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1.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1.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1.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1.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1.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1.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1.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1.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1.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1.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1.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1.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1.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1.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1.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1.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1.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1.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1.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1.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1.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1.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1.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1.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1.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1.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1.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1.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1.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1.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1.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1.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1.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1.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1.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1.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1.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1.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1.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1.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1.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1.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1.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1.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1.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1.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1.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1.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1.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1.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1.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1.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1.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1.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1.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1.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1.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1.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1.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1.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1.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1.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1.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1.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1.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1.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1.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1.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1.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1.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1.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1.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1.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1.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1.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1.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1.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1.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1.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1.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1.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1.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1.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1.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1.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1.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1.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1.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1.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1.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1.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1.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1.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1.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1.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1.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1.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1.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1.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1.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1.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1.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1.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1.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1.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1.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1.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1.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1.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1.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1.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1.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1.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1.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1.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1.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1.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1.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1.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1.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1.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1.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1.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1.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1.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1.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1.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1.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1.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1.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1.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1.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1.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1.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1.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1.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1.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1.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1.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1.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1.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1.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1.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1.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1.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1.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1.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1.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1.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1.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1.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1.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1.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1.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1.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1.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1.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1.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1.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1.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1.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1.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1.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1.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1.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1.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1.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1.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1.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1.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1.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1.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1.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1.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1.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1.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1.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1.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1.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1.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1.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1.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1.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1.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1.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1.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1.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1.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1.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1.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1.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1.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1.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1.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1.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1.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1.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1.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1.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1.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1.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1.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1.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1.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1.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1.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1.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1.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1.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1.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1.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1.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1.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1.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1.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1.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1.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1.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1.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1.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1.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1.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1.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1.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1.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1.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1.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1.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1.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1.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1.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1.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1.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1.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1.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1.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1.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1.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1.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1.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1.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1.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1.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1.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1.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1.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1.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1.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1.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1.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1.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1.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1.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1.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1.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1.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1.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1.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1.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1.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1.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1.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1.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1.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1.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1.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1.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1.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1.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1.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1.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1.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1.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1.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1.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1.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1.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1.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1.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1.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1.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1.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1.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1.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1.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1.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1.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1.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1.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1.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1.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1.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1.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1.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1.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1.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1.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1.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1.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1.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1.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1.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1.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1.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1.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1.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1.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1.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1.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1.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1.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1.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1.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1.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1.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1.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1.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1.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1.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1.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1.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1.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1.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1.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1.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1.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1.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1.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1.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1.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1.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1.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1.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1.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1.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1.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1.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1.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1.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1.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1.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1.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1.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1.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1.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1.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1.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1.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1.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1.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1.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1.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1.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1.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1.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1.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1.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1.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1.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1.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1.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1.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1.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1.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1.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1.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1.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1.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1.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1.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1.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1.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1.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1.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1.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1.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1.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1.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1.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1.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1.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1.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1.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1.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1.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1.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1.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1.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1.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1.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1.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1.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1.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1.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1.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1.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1.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1.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1.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1.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1.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1.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1.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1.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1.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1.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1.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1.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1.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1.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1.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1.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1.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1.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1.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1.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1.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1.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1.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1.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1.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1.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1.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1.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1.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1.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1.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1.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1.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1.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1.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1.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1.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1.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1.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1.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1.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1.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1.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1.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1.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1.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1.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1.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1.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1.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1.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1.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1.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1.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1.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1.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1.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1.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1.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1.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1.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1.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1.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1.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1.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1.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1.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1.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1.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1.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1.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1.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1.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1.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1.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1.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1.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1.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1.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1.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1.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1.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1.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1.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1.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1.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1.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1.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1.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1.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1.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1.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1.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1.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1.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1.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1.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1.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1.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1.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1.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1.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1.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1.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1.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1.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1.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1.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1.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1.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1.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1.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1.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1.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1.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1.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1.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1.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1.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1.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1.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1.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1.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1.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1.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1.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1.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1.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1.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1.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1.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1.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1.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1.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1.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1.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1.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1.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1.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1.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1.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1.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1.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1.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1.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1.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1.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1.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1.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1.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1.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1.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1.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1.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1.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1.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1.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1.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1.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1.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1.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1.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1.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1.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1.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1.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1.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1.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1.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1.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1.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1.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1.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1.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1.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1.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1.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1.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2:A6"/>
    <mergeCell ref="A8:A12"/>
    <mergeCell ref="A14:A18"/>
    <mergeCell ref="A20:A2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8.29"/>
    <col customWidth="1" min="3" max="3" width="24.0"/>
    <col customWidth="1" min="4" max="4" width="62.0"/>
    <col customWidth="1" min="5" max="5" width="16.43"/>
    <col customWidth="1" min="6" max="6" width="17.86"/>
    <col customWidth="1" min="7" max="26" width="8.71"/>
  </cols>
  <sheetData>
    <row r="1" ht="11.25" customHeight="1">
      <c r="A1" s="1" t="s">
        <v>0</v>
      </c>
      <c r="B1" s="2" t="s">
        <v>1</v>
      </c>
      <c r="C1" s="1" t="s">
        <v>2</v>
      </c>
      <c r="D1" s="1" t="s">
        <v>3</v>
      </c>
      <c r="E1" s="1" t="s">
        <v>4</v>
      </c>
      <c r="F1" s="2" t="s">
        <v>5</v>
      </c>
      <c r="G1" s="3"/>
      <c r="H1" s="3"/>
      <c r="I1" s="3"/>
      <c r="J1" s="3"/>
      <c r="K1" s="3"/>
      <c r="L1" s="3"/>
      <c r="M1" s="3"/>
      <c r="N1" s="3"/>
      <c r="O1" s="3"/>
      <c r="P1" s="3"/>
      <c r="Q1" s="3"/>
      <c r="R1" s="3"/>
      <c r="S1" s="3"/>
      <c r="T1" s="3"/>
      <c r="U1" s="3"/>
      <c r="V1" s="3"/>
      <c r="W1" s="3"/>
      <c r="X1" s="3"/>
      <c r="Y1" s="3"/>
      <c r="Z1" s="3"/>
    </row>
    <row r="2" ht="11.25" customHeight="1">
      <c r="A2" s="4" t="s">
        <v>6</v>
      </c>
      <c r="C2" s="5">
        <v>45992.0</v>
      </c>
      <c r="D2" s="6" t="s">
        <v>30</v>
      </c>
      <c r="E2" s="7">
        <v>3.0</v>
      </c>
      <c r="F2" s="8"/>
      <c r="G2" s="3"/>
      <c r="H2" s="3"/>
      <c r="I2" s="3"/>
      <c r="J2" s="3"/>
      <c r="K2" s="3"/>
      <c r="L2" s="3"/>
      <c r="M2" s="3"/>
      <c r="N2" s="3"/>
      <c r="O2" s="3"/>
      <c r="P2" s="3"/>
      <c r="Q2" s="3"/>
      <c r="R2" s="3"/>
      <c r="S2" s="3"/>
      <c r="T2" s="3"/>
      <c r="U2" s="3"/>
      <c r="V2" s="3"/>
      <c r="W2" s="3"/>
      <c r="X2" s="3"/>
      <c r="Y2" s="3"/>
      <c r="Z2" s="3"/>
    </row>
    <row r="3" ht="11.25" customHeight="1">
      <c r="A3" s="9"/>
      <c r="B3" s="10"/>
      <c r="C3" s="5">
        <v>45993.0</v>
      </c>
      <c r="D3" s="6" t="s">
        <v>31</v>
      </c>
      <c r="E3" s="7">
        <v>3.0</v>
      </c>
      <c r="F3" s="8"/>
      <c r="G3" s="3"/>
      <c r="H3" s="3"/>
      <c r="I3" s="3"/>
      <c r="J3" s="3"/>
      <c r="K3" s="3"/>
      <c r="L3" s="3"/>
      <c r="M3" s="3"/>
      <c r="N3" s="3"/>
      <c r="O3" s="3"/>
      <c r="P3" s="3"/>
      <c r="Q3" s="3"/>
      <c r="R3" s="3"/>
      <c r="S3" s="3"/>
      <c r="T3" s="3"/>
      <c r="U3" s="3"/>
      <c r="V3" s="3"/>
      <c r="W3" s="3"/>
      <c r="X3" s="3"/>
      <c r="Y3" s="3"/>
      <c r="Z3" s="3"/>
    </row>
    <row r="4" ht="11.25" customHeight="1">
      <c r="A4" s="9"/>
      <c r="B4" s="10"/>
      <c r="C4" s="5">
        <v>45994.0</v>
      </c>
      <c r="D4" s="6" t="s">
        <v>32</v>
      </c>
      <c r="E4" s="7">
        <v>3.0</v>
      </c>
      <c r="F4" s="8"/>
      <c r="G4" s="3"/>
      <c r="H4" s="3"/>
      <c r="I4" s="3"/>
      <c r="J4" s="3"/>
      <c r="K4" s="3"/>
      <c r="L4" s="3"/>
      <c r="M4" s="3"/>
      <c r="N4" s="3"/>
      <c r="O4" s="3"/>
      <c r="P4" s="3"/>
      <c r="Q4" s="3"/>
      <c r="R4" s="3"/>
      <c r="S4" s="3"/>
      <c r="T4" s="3"/>
      <c r="U4" s="3"/>
      <c r="V4" s="3"/>
      <c r="W4" s="3"/>
      <c r="X4" s="3"/>
      <c r="Y4" s="3"/>
      <c r="Z4" s="3"/>
    </row>
    <row r="5" ht="11.25" customHeight="1">
      <c r="A5" s="9"/>
      <c r="B5" s="10"/>
      <c r="C5" s="5">
        <v>45995.0</v>
      </c>
      <c r="D5" s="6" t="s">
        <v>33</v>
      </c>
      <c r="E5" s="7">
        <v>3.0</v>
      </c>
      <c r="F5" s="8"/>
      <c r="G5" s="3"/>
      <c r="H5" s="3"/>
      <c r="I5" s="3"/>
      <c r="J5" s="3"/>
      <c r="K5" s="3"/>
      <c r="L5" s="3"/>
      <c r="M5" s="3"/>
      <c r="N5" s="3"/>
      <c r="O5" s="3"/>
      <c r="P5" s="3"/>
      <c r="Q5" s="3"/>
      <c r="R5" s="3"/>
      <c r="S5" s="3"/>
      <c r="T5" s="3"/>
      <c r="U5" s="3"/>
      <c r="V5" s="3"/>
      <c r="W5" s="3"/>
      <c r="X5" s="3"/>
      <c r="Y5" s="3"/>
      <c r="Z5" s="3"/>
    </row>
    <row r="6" ht="11.25" customHeight="1">
      <c r="A6" s="11"/>
      <c r="B6" s="10"/>
      <c r="C6" s="5">
        <v>45996.0</v>
      </c>
      <c r="D6" s="6" t="s">
        <v>34</v>
      </c>
      <c r="E6" s="12">
        <v>3.0</v>
      </c>
      <c r="F6" s="8"/>
      <c r="G6" s="3"/>
      <c r="H6" s="3"/>
      <c r="I6" s="3"/>
      <c r="J6" s="3"/>
      <c r="K6" s="3"/>
      <c r="L6" s="3"/>
      <c r="M6" s="3"/>
      <c r="N6" s="3"/>
      <c r="O6" s="3"/>
      <c r="P6" s="3"/>
      <c r="Q6" s="3"/>
      <c r="R6" s="3"/>
      <c r="S6" s="3"/>
      <c r="T6" s="3"/>
      <c r="U6" s="3"/>
      <c r="V6" s="3"/>
      <c r="W6" s="3"/>
      <c r="X6" s="3"/>
      <c r="Y6" s="3"/>
      <c r="Z6" s="3"/>
    </row>
    <row r="7" ht="11.25" customHeight="1">
      <c r="A7" s="13" t="s">
        <v>11</v>
      </c>
      <c r="B7" s="14"/>
      <c r="C7" s="15"/>
      <c r="D7" s="16"/>
      <c r="E7" s="17">
        <f>SUM(E2:E6)</f>
        <v>15</v>
      </c>
      <c r="F7" s="8"/>
      <c r="G7" s="3"/>
      <c r="H7" s="3"/>
      <c r="I7" s="3"/>
      <c r="J7" s="3"/>
      <c r="K7" s="3"/>
      <c r="L7" s="3"/>
      <c r="M7" s="3"/>
      <c r="N7" s="3"/>
      <c r="O7" s="3"/>
      <c r="P7" s="3"/>
      <c r="Q7" s="3"/>
      <c r="R7" s="3"/>
      <c r="S7" s="3"/>
      <c r="T7" s="3"/>
      <c r="U7" s="3"/>
      <c r="V7" s="3"/>
      <c r="W7" s="3"/>
      <c r="X7" s="3"/>
      <c r="Y7" s="3"/>
      <c r="Z7" s="3"/>
    </row>
    <row r="8" ht="11.25" customHeight="1">
      <c r="A8" s="4" t="s">
        <v>12</v>
      </c>
      <c r="B8" s="10"/>
      <c r="C8" s="5">
        <v>45999.0</v>
      </c>
      <c r="D8" s="6" t="s">
        <v>35</v>
      </c>
      <c r="E8" s="7">
        <v>3.0</v>
      </c>
      <c r="F8" s="8"/>
      <c r="G8" s="3"/>
      <c r="H8" s="3"/>
      <c r="I8" s="3"/>
      <c r="J8" s="3"/>
      <c r="K8" s="3"/>
      <c r="L8" s="3"/>
      <c r="M8" s="3"/>
      <c r="N8" s="3"/>
      <c r="O8" s="3"/>
      <c r="P8" s="3"/>
      <c r="Q8" s="3"/>
      <c r="R8" s="3"/>
      <c r="S8" s="3"/>
      <c r="T8" s="3"/>
      <c r="U8" s="3"/>
      <c r="V8" s="3"/>
      <c r="W8" s="3"/>
      <c r="X8" s="3"/>
      <c r="Y8" s="3"/>
      <c r="Z8" s="3"/>
    </row>
    <row r="9" ht="11.25" customHeight="1">
      <c r="A9" s="9"/>
      <c r="B9" s="10"/>
      <c r="C9" s="5">
        <v>46000.0</v>
      </c>
      <c r="D9" s="6" t="s">
        <v>36</v>
      </c>
      <c r="E9" s="7">
        <v>3.0</v>
      </c>
      <c r="F9" s="8"/>
      <c r="G9" s="3"/>
      <c r="H9" s="3"/>
      <c r="I9" s="3"/>
      <c r="J9" s="3"/>
      <c r="K9" s="3"/>
      <c r="L9" s="3"/>
      <c r="M9" s="3"/>
      <c r="N9" s="3"/>
      <c r="O9" s="3"/>
      <c r="P9" s="3"/>
      <c r="Q9" s="3"/>
      <c r="R9" s="3"/>
      <c r="S9" s="3"/>
      <c r="T9" s="3"/>
      <c r="U9" s="3"/>
      <c r="V9" s="3"/>
      <c r="W9" s="3"/>
      <c r="X9" s="3"/>
      <c r="Y9" s="3"/>
      <c r="Z9" s="3"/>
    </row>
    <row r="10" ht="11.25" customHeight="1">
      <c r="A10" s="9"/>
      <c r="B10" s="10"/>
      <c r="C10" s="5">
        <v>46001.0</v>
      </c>
      <c r="D10" s="6" t="s">
        <v>37</v>
      </c>
      <c r="E10" s="7">
        <v>3.0</v>
      </c>
      <c r="F10" s="8"/>
      <c r="G10" s="3"/>
      <c r="H10" s="3"/>
      <c r="I10" s="3"/>
      <c r="J10" s="3"/>
      <c r="K10" s="3"/>
      <c r="L10" s="3"/>
      <c r="M10" s="3"/>
      <c r="N10" s="3"/>
      <c r="O10" s="3"/>
      <c r="P10" s="3"/>
      <c r="Q10" s="3"/>
      <c r="R10" s="3"/>
      <c r="S10" s="3"/>
      <c r="T10" s="3"/>
      <c r="U10" s="3"/>
      <c r="V10" s="3"/>
      <c r="W10" s="3"/>
      <c r="X10" s="3"/>
      <c r="Y10" s="3"/>
      <c r="Z10" s="3"/>
    </row>
    <row r="11" ht="11.25" customHeight="1">
      <c r="A11" s="9"/>
      <c r="B11" s="10"/>
      <c r="C11" s="5">
        <v>46002.0</v>
      </c>
      <c r="D11" s="6" t="s">
        <v>38</v>
      </c>
      <c r="E11" s="7">
        <v>3.0</v>
      </c>
      <c r="F11" s="8"/>
      <c r="G11" s="3"/>
      <c r="H11" s="3"/>
      <c r="I11" s="3"/>
      <c r="J11" s="3"/>
      <c r="K11" s="3"/>
      <c r="L11" s="3"/>
      <c r="M11" s="3"/>
      <c r="N11" s="3"/>
      <c r="O11" s="3"/>
      <c r="P11" s="3"/>
      <c r="Q11" s="3"/>
      <c r="R11" s="3"/>
      <c r="S11" s="3"/>
      <c r="T11" s="3"/>
      <c r="U11" s="3"/>
      <c r="V11" s="3"/>
      <c r="W11" s="3"/>
      <c r="X11" s="3"/>
      <c r="Y11" s="3"/>
      <c r="Z11" s="3"/>
    </row>
    <row r="12" ht="11.25" customHeight="1">
      <c r="A12" s="11"/>
      <c r="B12" s="10"/>
      <c r="C12" s="5">
        <v>46005.0</v>
      </c>
      <c r="D12" s="6" t="s">
        <v>39</v>
      </c>
      <c r="E12" s="7">
        <v>3.0</v>
      </c>
      <c r="F12" s="8"/>
      <c r="G12" s="3"/>
      <c r="H12" s="3"/>
      <c r="I12" s="3"/>
      <c r="J12" s="3"/>
      <c r="K12" s="3"/>
      <c r="L12" s="3"/>
      <c r="M12" s="3"/>
      <c r="N12" s="3"/>
      <c r="O12" s="3"/>
      <c r="P12" s="3"/>
      <c r="Q12" s="3"/>
      <c r="R12" s="3"/>
      <c r="S12" s="3"/>
      <c r="T12" s="3"/>
      <c r="U12" s="3"/>
      <c r="V12" s="3"/>
      <c r="W12" s="3"/>
      <c r="X12" s="3"/>
      <c r="Y12" s="3"/>
      <c r="Z12" s="3"/>
    </row>
    <row r="13" ht="11.25" customHeight="1">
      <c r="A13" s="13" t="s">
        <v>11</v>
      </c>
      <c r="B13" s="14"/>
      <c r="C13" s="15"/>
      <c r="D13" s="16"/>
      <c r="E13" s="17">
        <f>SUM(E8:E12)</f>
        <v>15</v>
      </c>
      <c r="F13" s="8"/>
      <c r="G13" s="3"/>
      <c r="H13" s="3"/>
      <c r="I13" s="3"/>
      <c r="J13" s="3"/>
      <c r="K13" s="3"/>
      <c r="L13" s="3"/>
      <c r="M13" s="3"/>
      <c r="N13" s="3"/>
      <c r="O13" s="3"/>
      <c r="P13" s="3"/>
      <c r="Q13" s="3"/>
      <c r="R13" s="3"/>
      <c r="S13" s="3"/>
      <c r="T13" s="3"/>
      <c r="U13" s="3"/>
      <c r="V13" s="3"/>
      <c r="W13" s="3"/>
      <c r="X13" s="3"/>
      <c r="Y13" s="3"/>
      <c r="Z13" s="3"/>
    </row>
    <row r="14" ht="11.25" customHeight="1">
      <c r="A14" s="4" t="s">
        <v>18</v>
      </c>
      <c r="B14" s="10"/>
      <c r="C14" s="5">
        <v>46006.0</v>
      </c>
      <c r="D14" s="6" t="s">
        <v>40</v>
      </c>
      <c r="E14" s="7">
        <v>3.0</v>
      </c>
      <c r="F14" s="8"/>
      <c r="G14" s="3"/>
      <c r="H14" s="3"/>
      <c r="I14" s="3"/>
      <c r="J14" s="3"/>
      <c r="K14" s="3"/>
      <c r="L14" s="3"/>
      <c r="M14" s="3"/>
      <c r="N14" s="3"/>
      <c r="O14" s="3"/>
      <c r="P14" s="3"/>
      <c r="Q14" s="3"/>
      <c r="R14" s="3"/>
      <c r="S14" s="3"/>
      <c r="T14" s="3"/>
      <c r="U14" s="3"/>
      <c r="V14" s="3"/>
      <c r="W14" s="3"/>
      <c r="X14" s="3"/>
      <c r="Y14" s="3"/>
      <c r="Z14" s="3"/>
    </row>
    <row r="15" ht="11.25" customHeight="1">
      <c r="A15" s="9"/>
      <c r="B15" s="10"/>
      <c r="C15" s="5">
        <v>46007.0</v>
      </c>
      <c r="D15" s="6" t="s">
        <v>40</v>
      </c>
      <c r="E15" s="7">
        <v>3.0</v>
      </c>
      <c r="F15" s="8"/>
      <c r="G15" s="3"/>
      <c r="H15" s="3"/>
      <c r="I15" s="3"/>
      <c r="J15" s="3"/>
      <c r="K15" s="3"/>
      <c r="L15" s="3"/>
      <c r="M15" s="3"/>
      <c r="N15" s="3"/>
      <c r="O15" s="3"/>
      <c r="P15" s="3"/>
      <c r="Q15" s="3"/>
      <c r="R15" s="3"/>
      <c r="S15" s="3"/>
      <c r="T15" s="3"/>
      <c r="U15" s="3"/>
      <c r="V15" s="3"/>
      <c r="W15" s="3"/>
      <c r="X15" s="3"/>
      <c r="Y15" s="3"/>
      <c r="Z15" s="3"/>
    </row>
    <row r="16" ht="11.25" customHeight="1">
      <c r="A16" s="9"/>
      <c r="B16" s="10"/>
      <c r="C16" s="5">
        <v>46008.0</v>
      </c>
      <c r="D16" s="6" t="s">
        <v>41</v>
      </c>
      <c r="E16" s="7">
        <v>3.0</v>
      </c>
      <c r="F16" s="8"/>
      <c r="G16" s="3"/>
      <c r="H16" s="3"/>
      <c r="I16" s="3"/>
      <c r="J16" s="3"/>
      <c r="K16" s="3"/>
      <c r="L16" s="3"/>
      <c r="M16" s="3"/>
      <c r="N16" s="3"/>
      <c r="O16" s="3"/>
      <c r="P16" s="3"/>
      <c r="Q16" s="3"/>
      <c r="R16" s="3"/>
      <c r="S16" s="3"/>
      <c r="T16" s="3"/>
      <c r="U16" s="3"/>
      <c r="V16" s="3"/>
      <c r="W16" s="3"/>
      <c r="X16" s="3"/>
      <c r="Y16" s="3"/>
      <c r="Z16" s="3"/>
    </row>
    <row r="17" ht="11.25" customHeight="1">
      <c r="A17" s="9"/>
      <c r="B17" s="10"/>
      <c r="C17" s="5">
        <v>46009.0</v>
      </c>
      <c r="D17" s="6" t="s">
        <v>42</v>
      </c>
      <c r="E17" s="7">
        <v>3.0</v>
      </c>
      <c r="F17" s="8"/>
      <c r="G17" s="3"/>
      <c r="H17" s="3"/>
      <c r="I17" s="3"/>
      <c r="J17" s="3"/>
      <c r="K17" s="3"/>
      <c r="L17" s="3"/>
      <c r="M17" s="3"/>
      <c r="N17" s="3"/>
      <c r="O17" s="3"/>
      <c r="P17" s="3"/>
      <c r="Q17" s="3"/>
      <c r="R17" s="3"/>
      <c r="S17" s="3"/>
      <c r="T17" s="3"/>
      <c r="U17" s="3"/>
      <c r="V17" s="3"/>
      <c r="W17" s="3"/>
      <c r="X17" s="3"/>
      <c r="Y17" s="3"/>
      <c r="Z17" s="3"/>
    </row>
    <row r="18" ht="11.25" customHeight="1">
      <c r="A18" s="11"/>
      <c r="B18" s="10"/>
      <c r="C18" s="5">
        <v>46010.0</v>
      </c>
      <c r="D18" s="6" t="s">
        <v>43</v>
      </c>
      <c r="E18" s="7">
        <v>3.0</v>
      </c>
      <c r="F18" s="8"/>
      <c r="G18" s="3"/>
      <c r="H18" s="3"/>
      <c r="I18" s="3"/>
      <c r="J18" s="3"/>
      <c r="K18" s="3"/>
      <c r="L18" s="3"/>
      <c r="M18" s="3"/>
      <c r="N18" s="3"/>
      <c r="O18" s="3"/>
      <c r="P18" s="3"/>
      <c r="Q18" s="3"/>
      <c r="R18" s="3"/>
      <c r="S18" s="3"/>
      <c r="T18" s="3"/>
      <c r="U18" s="3"/>
      <c r="V18" s="3"/>
      <c r="W18" s="3"/>
      <c r="X18" s="3"/>
      <c r="Y18" s="3"/>
      <c r="Z18" s="3"/>
    </row>
    <row r="19" ht="11.25" customHeight="1">
      <c r="A19" s="13" t="s">
        <v>11</v>
      </c>
      <c r="B19" s="14"/>
      <c r="C19" s="15"/>
      <c r="D19" s="16"/>
      <c r="E19" s="17">
        <f>SUM(E14:E18)</f>
        <v>15</v>
      </c>
      <c r="F19" s="8"/>
      <c r="G19" s="3"/>
      <c r="H19" s="3"/>
      <c r="I19" s="3"/>
      <c r="J19" s="3"/>
      <c r="K19" s="3"/>
      <c r="L19" s="3"/>
      <c r="M19" s="3"/>
      <c r="N19" s="3"/>
      <c r="O19" s="3"/>
      <c r="P19" s="3"/>
      <c r="Q19" s="3"/>
      <c r="R19" s="3"/>
      <c r="S19" s="3"/>
      <c r="T19" s="3"/>
      <c r="U19" s="3"/>
      <c r="V19" s="3"/>
      <c r="W19" s="3"/>
      <c r="X19" s="3"/>
      <c r="Y19" s="3"/>
      <c r="Z19" s="3"/>
    </row>
    <row r="20" ht="11.25" customHeight="1">
      <c r="A20" s="4" t="s">
        <v>24</v>
      </c>
      <c r="B20" s="10"/>
      <c r="C20" s="5">
        <v>46013.0</v>
      </c>
      <c r="D20" s="6" t="s">
        <v>44</v>
      </c>
      <c r="E20" s="7">
        <v>3.0</v>
      </c>
      <c r="F20" s="8"/>
      <c r="G20" s="3"/>
      <c r="H20" s="3"/>
      <c r="I20" s="3"/>
      <c r="J20" s="3"/>
      <c r="K20" s="3"/>
      <c r="L20" s="3"/>
      <c r="M20" s="3"/>
      <c r="N20" s="3"/>
      <c r="O20" s="3"/>
      <c r="P20" s="3"/>
      <c r="Q20" s="3"/>
      <c r="R20" s="3"/>
      <c r="S20" s="3"/>
      <c r="T20" s="3"/>
      <c r="U20" s="3"/>
      <c r="V20" s="3"/>
      <c r="W20" s="3"/>
      <c r="X20" s="3"/>
      <c r="Y20" s="3"/>
      <c r="Z20" s="3"/>
    </row>
    <row r="21" ht="11.25" customHeight="1">
      <c r="A21" s="9"/>
      <c r="B21" s="10"/>
      <c r="C21" s="5">
        <v>46014.0</v>
      </c>
      <c r="D21" s="6" t="s">
        <v>45</v>
      </c>
      <c r="E21" s="7">
        <v>3.0</v>
      </c>
      <c r="F21" s="8"/>
      <c r="G21" s="3"/>
      <c r="H21" s="3"/>
      <c r="I21" s="3"/>
      <c r="J21" s="3"/>
      <c r="K21" s="3"/>
      <c r="L21" s="3"/>
      <c r="M21" s="3"/>
      <c r="N21" s="3"/>
      <c r="O21" s="3"/>
      <c r="P21" s="3"/>
      <c r="Q21" s="3"/>
      <c r="R21" s="3"/>
      <c r="S21" s="3"/>
      <c r="T21" s="3"/>
      <c r="U21" s="3"/>
      <c r="V21" s="3"/>
      <c r="W21" s="3"/>
      <c r="X21" s="3"/>
      <c r="Y21" s="3"/>
      <c r="Z21" s="3"/>
    </row>
    <row r="22" ht="11.25" customHeight="1">
      <c r="A22" s="9"/>
      <c r="B22" s="10"/>
      <c r="C22" s="5">
        <v>46015.0</v>
      </c>
      <c r="D22" s="10"/>
      <c r="E22" s="7">
        <v>0.0</v>
      </c>
      <c r="F22" s="8"/>
      <c r="G22" s="3"/>
      <c r="H22" s="3"/>
      <c r="I22" s="3"/>
      <c r="J22" s="3"/>
      <c r="K22" s="3"/>
      <c r="L22" s="3"/>
      <c r="M22" s="3"/>
      <c r="N22" s="3"/>
      <c r="O22" s="3"/>
      <c r="P22" s="3"/>
      <c r="Q22" s="3"/>
      <c r="R22" s="3"/>
      <c r="S22" s="3"/>
      <c r="T22" s="3"/>
      <c r="U22" s="3"/>
      <c r="V22" s="3"/>
      <c r="W22" s="3"/>
      <c r="X22" s="3"/>
      <c r="Y22" s="3"/>
      <c r="Z22" s="3"/>
    </row>
    <row r="23" ht="11.25" customHeight="1">
      <c r="A23" s="9"/>
      <c r="B23" s="10"/>
      <c r="C23" s="5">
        <v>46016.0</v>
      </c>
      <c r="D23" s="6" t="s">
        <v>46</v>
      </c>
      <c r="E23" s="7">
        <v>6.0</v>
      </c>
      <c r="F23" s="8"/>
      <c r="G23" s="3"/>
      <c r="H23" s="3"/>
      <c r="I23" s="3"/>
      <c r="J23" s="3"/>
      <c r="K23" s="3"/>
      <c r="L23" s="3"/>
      <c r="M23" s="3"/>
      <c r="N23" s="3"/>
      <c r="O23" s="3"/>
      <c r="P23" s="3"/>
      <c r="Q23" s="3"/>
      <c r="R23" s="3"/>
      <c r="S23" s="3"/>
      <c r="T23" s="3"/>
      <c r="U23" s="3"/>
      <c r="V23" s="3"/>
      <c r="W23" s="3"/>
      <c r="X23" s="3"/>
      <c r="Y23" s="3"/>
      <c r="Z23" s="3"/>
    </row>
    <row r="24" ht="11.25" customHeight="1">
      <c r="A24" s="11"/>
      <c r="B24" s="10"/>
      <c r="C24" s="5">
        <v>46017.0</v>
      </c>
      <c r="D24" s="6" t="s">
        <v>47</v>
      </c>
      <c r="E24" s="7">
        <v>3.0</v>
      </c>
      <c r="F24" s="8"/>
      <c r="G24" s="3"/>
      <c r="H24" s="3"/>
      <c r="I24" s="3"/>
      <c r="J24" s="3"/>
      <c r="K24" s="3"/>
      <c r="L24" s="3"/>
      <c r="M24" s="3"/>
      <c r="N24" s="3"/>
      <c r="O24" s="3"/>
      <c r="P24" s="3"/>
      <c r="Q24" s="3"/>
      <c r="R24" s="3"/>
      <c r="S24" s="3"/>
      <c r="T24" s="3"/>
      <c r="U24" s="3"/>
      <c r="V24" s="3"/>
      <c r="W24" s="3"/>
      <c r="X24" s="3"/>
      <c r="Y24" s="3"/>
      <c r="Z24" s="3"/>
    </row>
    <row r="25" ht="11.25" customHeight="1">
      <c r="A25" s="13" t="s">
        <v>11</v>
      </c>
      <c r="B25" s="14"/>
      <c r="C25" s="5"/>
      <c r="D25" s="16"/>
      <c r="E25" s="17">
        <f>SUM(E20:E24)</f>
        <v>15</v>
      </c>
      <c r="F25" s="8"/>
      <c r="G25" s="3"/>
      <c r="H25" s="3"/>
      <c r="I25" s="3"/>
      <c r="J25" s="3"/>
      <c r="K25" s="3"/>
      <c r="L25" s="3"/>
      <c r="M25" s="3"/>
      <c r="N25" s="3"/>
      <c r="O25" s="3"/>
      <c r="P25" s="3"/>
      <c r="Q25" s="3"/>
      <c r="R25" s="3"/>
      <c r="S25" s="3"/>
      <c r="T25" s="3"/>
      <c r="U25" s="3"/>
      <c r="V25" s="3"/>
      <c r="W25" s="3"/>
      <c r="X25" s="3"/>
      <c r="Y25" s="3"/>
      <c r="Z25" s="3"/>
    </row>
    <row r="26" ht="11.25" customHeight="1">
      <c r="A26" s="20" t="s">
        <v>48</v>
      </c>
      <c r="B26" s="10"/>
      <c r="D26" s="10"/>
      <c r="E26" s="7"/>
      <c r="F26" s="8"/>
      <c r="G26" s="3"/>
      <c r="H26" s="3"/>
      <c r="I26" s="3"/>
      <c r="J26" s="3"/>
      <c r="K26" s="3"/>
      <c r="L26" s="3"/>
      <c r="M26" s="3"/>
      <c r="N26" s="3"/>
      <c r="O26" s="3"/>
      <c r="P26" s="3"/>
      <c r="Q26" s="3"/>
      <c r="R26" s="3"/>
      <c r="S26" s="3"/>
      <c r="T26" s="3"/>
      <c r="U26" s="3"/>
      <c r="V26" s="3"/>
      <c r="W26" s="3"/>
      <c r="X26" s="3"/>
      <c r="Y26" s="3"/>
      <c r="Z26" s="3"/>
    </row>
    <row r="27" ht="11.25" customHeight="1">
      <c r="A27" s="9"/>
      <c r="B27" s="10"/>
      <c r="C27" s="5">
        <v>46020.0</v>
      </c>
      <c r="D27" s="6" t="s">
        <v>49</v>
      </c>
      <c r="E27" s="7">
        <v>3.0</v>
      </c>
      <c r="F27" s="8"/>
      <c r="G27" s="3"/>
      <c r="H27" s="3"/>
      <c r="I27" s="3"/>
      <c r="J27" s="3"/>
      <c r="K27" s="3"/>
      <c r="L27" s="3"/>
      <c r="M27" s="3"/>
      <c r="N27" s="3"/>
      <c r="O27" s="3"/>
      <c r="P27" s="3"/>
      <c r="Q27" s="3"/>
      <c r="R27" s="3"/>
      <c r="S27" s="3"/>
      <c r="T27" s="3"/>
      <c r="U27" s="3"/>
      <c r="V27" s="3"/>
      <c r="W27" s="3"/>
      <c r="X27" s="3"/>
      <c r="Y27" s="3"/>
      <c r="Z27" s="3"/>
    </row>
    <row r="28" ht="11.25" customHeight="1">
      <c r="A28" s="9"/>
      <c r="B28" s="10"/>
      <c r="C28" s="5">
        <v>46021.0</v>
      </c>
      <c r="D28" s="6" t="s">
        <v>50</v>
      </c>
      <c r="E28" s="7">
        <v>3.0</v>
      </c>
      <c r="F28" s="8"/>
      <c r="G28" s="3"/>
      <c r="H28" s="3"/>
      <c r="I28" s="3"/>
      <c r="J28" s="3"/>
      <c r="K28" s="3"/>
      <c r="L28" s="3"/>
      <c r="M28" s="3"/>
      <c r="N28" s="3"/>
      <c r="O28" s="3"/>
      <c r="P28" s="3"/>
      <c r="Q28" s="3"/>
      <c r="R28" s="3"/>
      <c r="S28" s="3"/>
      <c r="T28" s="3"/>
      <c r="U28" s="3"/>
      <c r="V28" s="3"/>
      <c r="W28" s="3"/>
      <c r="X28" s="3"/>
      <c r="Y28" s="3"/>
      <c r="Z28" s="3"/>
    </row>
    <row r="29" ht="11.25" customHeight="1">
      <c r="A29" s="9"/>
      <c r="B29" s="10"/>
      <c r="C29" s="5">
        <v>46022.0</v>
      </c>
      <c r="D29" s="10"/>
      <c r="E29" s="7"/>
      <c r="F29" s="8"/>
      <c r="G29" s="3"/>
      <c r="H29" s="3"/>
      <c r="I29" s="3"/>
      <c r="J29" s="3"/>
      <c r="K29" s="3"/>
      <c r="L29" s="3"/>
      <c r="M29" s="3"/>
      <c r="N29" s="3"/>
      <c r="O29" s="3"/>
      <c r="P29" s="3"/>
      <c r="Q29" s="3"/>
      <c r="R29" s="3"/>
      <c r="S29" s="3"/>
      <c r="T29" s="3"/>
      <c r="U29" s="3"/>
      <c r="V29" s="3"/>
      <c r="W29" s="3"/>
      <c r="X29" s="3"/>
      <c r="Y29" s="3"/>
      <c r="Z29" s="3"/>
    </row>
    <row r="30" ht="11.25" customHeight="1">
      <c r="A30" s="11"/>
      <c r="B30" s="10"/>
      <c r="C30" s="5"/>
      <c r="D30" s="10"/>
      <c r="E30" s="7"/>
      <c r="F30" s="8"/>
      <c r="G30" s="3"/>
      <c r="H30" s="3"/>
      <c r="I30" s="3"/>
      <c r="J30" s="3"/>
      <c r="K30" s="3"/>
      <c r="L30" s="3"/>
      <c r="M30" s="3"/>
      <c r="N30" s="3"/>
      <c r="O30" s="3"/>
      <c r="P30" s="3"/>
      <c r="Q30" s="3"/>
      <c r="R30" s="3"/>
      <c r="S30" s="3"/>
      <c r="T30" s="3"/>
      <c r="U30" s="3"/>
      <c r="V30" s="3"/>
      <c r="W30" s="3"/>
      <c r="X30" s="3"/>
      <c r="Y30" s="3"/>
      <c r="Z30" s="3"/>
    </row>
    <row r="31" ht="11.25" customHeight="1">
      <c r="A31" s="13" t="s">
        <v>11</v>
      </c>
      <c r="B31" s="14"/>
      <c r="C31" s="5"/>
      <c r="D31" s="16"/>
      <c r="E31" s="17">
        <f>SUM(E26:E30)</f>
        <v>6</v>
      </c>
      <c r="F31" s="8"/>
      <c r="G31" s="3"/>
      <c r="H31" s="3"/>
      <c r="I31" s="3"/>
      <c r="J31" s="3"/>
      <c r="K31" s="3"/>
      <c r="L31" s="3"/>
      <c r="M31" s="3"/>
      <c r="N31" s="3"/>
      <c r="O31" s="3"/>
      <c r="P31" s="3"/>
      <c r="Q31" s="3"/>
      <c r="R31" s="3"/>
      <c r="S31" s="3"/>
      <c r="T31" s="3"/>
      <c r="U31" s="3"/>
      <c r="V31" s="3"/>
      <c r="W31" s="3"/>
      <c r="X31" s="3"/>
      <c r="Y31" s="3"/>
      <c r="Z31" s="3"/>
    </row>
    <row r="32" ht="11.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1.25" customHeight="1">
      <c r="A33" s="3"/>
      <c r="B33" s="3"/>
      <c r="C33" s="3"/>
      <c r="D33" s="18" t="s">
        <v>29</v>
      </c>
      <c r="E33" s="19">
        <f>SUM(E31+E25+E19+E13+E7)</f>
        <v>66</v>
      </c>
      <c r="F33" s="3"/>
      <c r="G33" s="3"/>
      <c r="H33" s="3"/>
      <c r="I33" s="3"/>
      <c r="J33" s="3"/>
      <c r="K33" s="3"/>
      <c r="L33" s="3"/>
      <c r="M33" s="3"/>
      <c r="N33" s="3"/>
      <c r="O33" s="3"/>
      <c r="P33" s="3"/>
      <c r="Q33" s="3"/>
      <c r="R33" s="3"/>
      <c r="S33" s="3"/>
      <c r="T33" s="3"/>
      <c r="U33" s="3"/>
      <c r="V33" s="3"/>
      <c r="W33" s="3"/>
      <c r="X33" s="3"/>
      <c r="Y33" s="3"/>
      <c r="Z33" s="3"/>
    </row>
    <row r="34" ht="11.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1.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1.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1.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1.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1.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1.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1.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1.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1.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1.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1.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1.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1.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1.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1.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1.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1.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1.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1.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1.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1.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1.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1.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1.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1.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1.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1.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1.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1.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1.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1.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1.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1.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1.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1.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1.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1.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1.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1.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1.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1.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1.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1.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1.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1.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1.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1.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1.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1.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1.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1.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1.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1.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1.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1.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1.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1.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1.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1.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1.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1.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1.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1.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1.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1.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1.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1.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1.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1.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1.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1.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1.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1.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1.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1.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1.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1.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1.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1.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1.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1.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1.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1.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1.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1.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1.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1.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1.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1.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1.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1.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1.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1.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1.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1.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1.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1.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1.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1.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1.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1.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1.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1.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1.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1.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1.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1.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1.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1.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1.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1.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1.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1.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1.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1.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1.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1.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1.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1.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1.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1.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1.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1.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1.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1.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1.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1.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1.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1.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1.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1.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1.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1.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1.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1.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1.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1.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1.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1.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1.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1.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1.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1.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1.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1.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1.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1.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1.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1.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1.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1.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1.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1.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1.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1.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1.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1.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1.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1.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1.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1.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1.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1.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1.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1.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1.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1.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1.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1.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1.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1.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1.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1.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1.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1.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1.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1.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1.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1.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1.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1.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1.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1.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1.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1.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1.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1.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1.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1.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1.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1.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1.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1.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1.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1.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1.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1.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1.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1.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1.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1.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1.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1.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1.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1.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1.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1.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1.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1.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1.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1.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1.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1.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1.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1.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1.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1.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1.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1.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1.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1.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1.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1.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1.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1.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1.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1.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1.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1.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1.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1.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1.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1.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1.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1.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1.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1.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1.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1.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1.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1.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1.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1.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1.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1.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1.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1.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1.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1.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1.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1.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1.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1.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1.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1.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1.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1.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1.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1.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1.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1.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1.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1.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1.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1.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1.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1.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1.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1.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1.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1.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1.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1.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1.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1.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1.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1.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1.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1.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1.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1.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1.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1.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1.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1.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1.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1.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1.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1.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1.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1.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1.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1.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1.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1.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1.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1.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1.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1.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1.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1.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1.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1.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1.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1.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1.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1.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1.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1.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1.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1.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1.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1.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1.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1.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1.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1.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1.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1.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1.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1.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1.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1.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1.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1.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1.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1.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1.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1.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1.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1.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1.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1.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1.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1.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1.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1.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1.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1.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1.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1.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1.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1.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1.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1.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1.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1.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1.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1.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1.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1.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1.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1.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1.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1.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1.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1.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1.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1.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1.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1.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1.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1.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1.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1.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1.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1.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1.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1.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1.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1.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1.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1.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1.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1.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1.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1.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1.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1.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1.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1.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1.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1.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1.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1.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1.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1.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1.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1.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1.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1.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1.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1.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1.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1.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1.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1.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1.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1.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1.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1.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1.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1.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1.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1.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1.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1.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1.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1.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1.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1.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1.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1.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1.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1.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1.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1.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1.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1.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1.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1.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1.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1.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1.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1.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1.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1.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1.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1.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1.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1.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1.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1.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1.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1.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1.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1.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1.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1.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1.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1.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1.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1.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1.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1.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1.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1.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1.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1.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1.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1.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1.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1.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1.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1.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1.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1.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1.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1.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1.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1.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1.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1.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1.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1.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1.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1.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1.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1.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1.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1.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1.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1.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1.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1.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1.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1.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1.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1.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1.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1.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1.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1.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1.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1.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1.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1.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1.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1.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1.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1.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1.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1.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1.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1.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1.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1.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1.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1.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1.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1.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1.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1.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1.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1.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1.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1.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1.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1.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1.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1.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1.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1.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1.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1.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1.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1.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1.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1.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1.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1.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1.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1.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1.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1.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1.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1.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1.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1.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1.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1.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1.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1.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1.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1.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1.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1.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1.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1.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1.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1.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1.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1.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1.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1.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1.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1.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1.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1.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1.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1.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1.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1.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1.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1.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1.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1.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1.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1.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1.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1.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1.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1.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1.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1.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1.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1.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1.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1.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1.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1.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1.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1.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1.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1.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1.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1.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1.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1.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1.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1.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1.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1.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1.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1.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1.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1.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1.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1.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1.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1.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1.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1.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1.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1.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1.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1.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1.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1.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1.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1.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1.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1.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1.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1.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1.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1.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1.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1.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1.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1.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1.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1.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1.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1.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1.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1.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1.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1.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1.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1.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1.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1.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1.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1.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1.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1.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1.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1.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1.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1.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1.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1.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1.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1.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1.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1.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1.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1.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1.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1.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1.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1.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1.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1.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1.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1.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1.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1.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1.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1.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1.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1.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1.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1.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1.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1.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1.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1.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1.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1.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1.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1.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1.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1.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1.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1.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1.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1.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1.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1.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1.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1.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1.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1.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1.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1.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1.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1.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1.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1.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1.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1.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1.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1.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1.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1.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1.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1.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1.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1.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1.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1.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1.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1.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1.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1.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1.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1.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1.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1.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1.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1.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1.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1.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1.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1.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1.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1.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1.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1.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1.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1.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1.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1.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1.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1.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1.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1.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1.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1.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1.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1.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1.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1.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1.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1.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1.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1.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1.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1.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1.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1.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1.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1.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1.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1.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1.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1.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1.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1.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1.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1.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1.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1.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1.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1.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1.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1.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1.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1.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1.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1.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1.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1.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1.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1.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1.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1.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1.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1.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1.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1.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1.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1.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1.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1.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1.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1.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1.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1.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1.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1.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1.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1.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1.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1.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1.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1.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1.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1.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1.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1.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1.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1.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1.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1.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1.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1.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1.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1.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1.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1.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1.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1.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1.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1.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1.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1.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1.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1.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1.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1.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1.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1.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1.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1.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1.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1.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1.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1.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1.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1.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1.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1.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1.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1.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1.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1.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1.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1.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1.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1.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1.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1.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1.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1.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1.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1.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1.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1.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1.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1.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1.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1.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1.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1.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1.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1.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1.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1.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1.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1.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1.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1.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1.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1.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1.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1.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1.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1.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1.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1.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1.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1.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1.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1.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1.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1.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1.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1.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1.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1.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1.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1.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1.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1.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1.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1.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1.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1.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1.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1.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1.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1.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1.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1.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1.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1.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1.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1.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1.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1.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1.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1.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1.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1.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1.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1.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1.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1.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1.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1.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1.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1.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1.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1.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1.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1.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1.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1.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1.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1.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1.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1.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1.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1.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1.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1.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1.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1.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1.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1.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1.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1.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1.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1.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1.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1.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1.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1.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1.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1.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1.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1.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1.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1.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1.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1.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1.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1.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1.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1.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1.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1.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1.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1.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1.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1.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1.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1.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1.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1.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1.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1.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1.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1.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1.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1.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1.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1.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1.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1.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1.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1.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1.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1.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1.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1.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1.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1.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1.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1.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1.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1.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1.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1.2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1.2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1.2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1.2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1.2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1.2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sheetData>
  <mergeCells count="5">
    <mergeCell ref="A2:A6"/>
    <mergeCell ref="A8:A12"/>
    <mergeCell ref="A14:A18"/>
    <mergeCell ref="A20:A24"/>
    <mergeCell ref="A26:A3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8.29"/>
    <col customWidth="1" min="3" max="3" width="24.0"/>
    <col customWidth="1" min="4" max="4" width="62.0"/>
    <col customWidth="1" min="5" max="5" width="16.43"/>
    <col customWidth="1" min="6" max="6" width="17.86"/>
    <col customWidth="1" min="7" max="26" width="8.71"/>
  </cols>
  <sheetData>
    <row r="1" ht="11.25" customHeight="1">
      <c r="A1" s="1" t="s">
        <v>0</v>
      </c>
      <c r="B1" s="2" t="s">
        <v>1</v>
      </c>
      <c r="C1" s="1" t="s">
        <v>2</v>
      </c>
      <c r="D1" s="1" t="s">
        <v>3</v>
      </c>
      <c r="E1" s="1" t="s">
        <v>4</v>
      </c>
      <c r="F1" s="2" t="s">
        <v>5</v>
      </c>
      <c r="G1" s="3"/>
      <c r="H1" s="3"/>
      <c r="I1" s="3"/>
      <c r="J1" s="3"/>
      <c r="K1" s="3"/>
      <c r="L1" s="3"/>
      <c r="M1" s="3"/>
      <c r="N1" s="3"/>
      <c r="O1" s="3"/>
      <c r="P1" s="3"/>
      <c r="Q1" s="3"/>
      <c r="R1" s="3"/>
      <c r="S1" s="3"/>
      <c r="T1" s="3"/>
      <c r="U1" s="3"/>
      <c r="V1" s="3"/>
      <c r="W1" s="3"/>
      <c r="X1" s="3"/>
      <c r="Y1" s="3"/>
      <c r="Z1" s="3"/>
    </row>
    <row r="2" ht="11.25" customHeight="1">
      <c r="A2" s="4" t="s">
        <v>6</v>
      </c>
      <c r="C2" s="5">
        <v>46023.0</v>
      </c>
      <c r="D2" s="6" t="s">
        <v>51</v>
      </c>
      <c r="E2" s="7">
        <v>3.0</v>
      </c>
      <c r="F2" s="8"/>
      <c r="G2" s="3"/>
      <c r="H2" s="3"/>
      <c r="I2" s="3"/>
      <c r="J2" s="3"/>
      <c r="K2" s="3"/>
      <c r="L2" s="3"/>
      <c r="M2" s="3"/>
      <c r="N2" s="3"/>
      <c r="O2" s="3"/>
      <c r="P2" s="3"/>
      <c r="Q2" s="3"/>
      <c r="R2" s="3"/>
      <c r="S2" s="3"/>
      <c r="T2" s="3"/>
      <c r="U2" s="3"/>
      <c r="V2" s="3"/>
      <c r="W2" s="3"/>
      <c r="X2" s="3"/>
      <c r="Y2" s="3"/>
      <c r="Z2" s="3"/>
    </row>
    <row r="3" ht="11.25" customHeight="1">
      <c r="A3" s="9"/>
      <c r="B3" s="10"/>
      <c r="C3" s="5">
        <v>46024.0</v>
      </c>
      <c r="D3" s="6" t="s">
        <v>52</v>
      </c>
      <c r="E3" s="7">
        <v>5.0</v>
      </c>
      <c r="F3" s="8"/>
      <c r="G3" s="3"/>
      <c r="H3" s="3"/>
      <c r="I3" s="3"/>
      <c r="J3" s="3"/>
      <c r="K3" s="3"/>
      <c r="L3" s="3"/>
      <c r="M3" s="3"/>
      <c r="N3" s="3"/>
      <c r="O3" s="3"/>
      <c r="P3" s="3"/>
      <c r="Q3" s="3"/>
      <c r="R3" s="3"/>
      <c r="S3" s="3"/>
      <c r="T3" s="3"/>
      <c r="U3" s="3"/>
      <c r="V3" s="3"/>
      <c r="W3" s="3"/>
      <c r="X3" s="3"/>
      <c r="Y3" s="3"/>
      <c r="Z3" s="3"/>
    </row>
    <row r="4" ht="11.25" customHeight="1">
      <c r="A4" s="9"/>
      <c r="B4" s="10"/>
      <c r="C4" s="5">
        <v>46025.0</v>
      </c>
      <c r="D4" s="6"/>
      <c r="E4" s="7"/>
      <c r="F4" s="8"/>
      <c r="G4" s="3"/>
      <c r="H4" s="3"/>
      <c r="I4" s="3"/>
      <c r="J4" s="3"/>
      <c r="K4" s="3"/>
      <c r="L4" s="3"/>
      <c r="M4" s="3"/>
      <c r="N4" s="3"/>
      <c r="O4" s="3"/>
      <c r="P4" s="3"/>
      <c r="Q4" s="3"/>
      <c r="R4" s="3"/>
      <c r="S4" s="3"/>
      <c r="T4" s="3"/>
      <c r="U4" s="3"/>
      <c r="V4" s="3"/>
      <c r="W4" s="3"/>
      <c r="X4" s="3"/>
      <c r="Y4" s="3"/>
      <c r="Z4" s="3"/>
    </row>
    <row r="5" ht="11.25" customHeight="1">
      <c r="A5" s="11"/>
      <c r="B5" s="10"/>
      <c r="C5" s="5">
        <v>46026.0</v>
      </c>
      <c r="D5" s="6"/>
      <c r="E5" s="7"/>
      <c r="F5" s="8"/>
      <c r="G5" s="3"/>
      <c r="H5" s="3"/>
      <c r="I5" s="3"/>
      <c r="J5" s="3"/>
      <c r="K5" s="3"/>
      <c r="L5" s="3"/>
      <c r="M5" s="3"/>
      <c r="N5" s="3"/>
      <c r="O5" s="3"/>
      <c r="P5" s="3"/>
      <c r="Q5" s="3"/>
      <c r="R5" s="3"/>
      <c r="S5" s="3"/>
      <c r="T5" s="3"/>
      <c r="U5" s="3"/>
      <c r="V5" s="3"/>
      <c r="W5" s="3"/>
      <c r="X5" s="3"/>
      <c r="Y5" s="3"/>
      <c r="Z5" s="3"/>
    </row>
    <row r="6" ht="11.25" customHeight="1">
      <c r="A6" s="13" t="s">
        <v>11</v>
      </c>
      <c r="B6" s="14"/>
      <c r="C6" s="15"/>
      <c r="D6" s="16"/>
      <c r="E6" s="17">
        <f>SUM(E2:E5)</f>
        <v>8</v>
      </c>
      <c r="F6" s="8"/>
      <c r="G6" s="3"/>
      <c r="H6" s="3"/>
      <c r="I6" s="3"/>
      <c r="J6" s="3"/>
      <c r="K6" s="3"/>
      <c r="L6" s="3"/>
      <c r="M6" s="3"/>
      <c r="N6" s="3"/>
      <c r="O6" s="3"/>
      <c r="P6" s="3"/>
      <c r="Q6" s="3"/>
      <c r="R6" s="3"/>
      <c r="S6" s="3"/>
      <c r="T6" s="3"/>
      <c r="U6" s="3"/>
      <c r="V6" s="3"/>
      <c r="W6" s="3"/>
      <c r="X6" s="3"/>
      <c r="Y6" s="3"/>
      <c r="Z6" s="3"/>
    </row>
    <row r="7" ht="11.25" customHeight="1">
      <c r="A7" s="4" t="s">
        <v>12</v>
      </c>
      <c r="B7" s="10"/>
      <c r="C7" s="5">
        <v>46027.0</v>
      </c>
      <c r="D7" s="6" t="s">
        <v>53</v>
      </c>
      <c r="E7" s="7">
        <v>3.0</v>
      </c>
      <c r="F7" s="8"/>
      <c r="G7" s="3"/>
      <c r="H7" s="3"/>
      <c r="I7" s="3"/>
      <c r="J7" s="3"/>
      <c r="K7" s="3"/>
      <c r="L7" s="3"/>
      <c r="M7" s="3"/>
      <c r="N7" s="3"/>
      <c r="O7" s="3"/>
      <c r="P7" s="3"/>
      <c r="Q7" s="3"/>
      <c r="R7" s="3"/>
      <c r="S7" s="3"/>
      <c r="T7" s="3"/>
      <c r="U7" s="3"/>
      <c r="V7" s="3"/>
      <c r="W7" s="3"/>
      <c r="X7" s="3"/>
      <c r="Y7" s="3"/>
      <c r="Z7" s="3"/>
    </row>
    <row r="8" ht="11.25" customHeight="1">
      <c r="A8" s="9"/>
      <c r="B8" s="10"/>
      <c r="C8" s="5">
        <v>46028.0</v>
      </c>
      <c r="D8" s="6" t="s">
        <v>54</v>
      </c>
      <c r="E8" s="7">
        <v>3.0</v>
      </c>
      <c r="F8" s="8"/>
      <c r="G8" s="3"/>
      <c r="H8" s="3"/>
      <c r="I8" s="3"/>
      <c r="J8" s="3"/>
      <c r="K8" s="3"/>
      <c r="L8" s="3"/>
      <c r="M8" s="3"/>
      <c r="N8" s="3"/>
      <c r="O8" s="3"/>
      <c r="P8" s="3"/>
      <c r="Q8" s="3"/>
      <c r="R8" s="3"/>
      <c r="S8" s="3"/>
      <c r="T8" s="3"/>
      <c r="U8" s="3"/>
      <c r="V8" s="3"/>
      <c r="W8" s="3"/>
      <c r="X8" s="3"/>
      <c r="Y8" s="3"/>
      <c r="Z8" s="3"/>
    </row>
    <row r="9" ht="11.25" customHeight="1">
      <c r="A9" s="9"/>
      <c r="B9" s="10"/>
      <c r="C9" s="5">
        <v>46029.0</v>
      </c>
      <c r="D9" s="6" t="s">
        <v>55</v>
      </c>
      <c r="E9" s="7">
        <v>3.0</v>
      </c>
      <c r="F9" s="8"/>
      <c r="G9" s="3"/>
      <c r="H9" s="3"/>
      <c r="I9" s="3"/>
      <c r="J9" s="3"/>
      <c r="K9" s="3"/>
      <c r="L9" s="3"/>
      <c r="M9" s="3"/>
      <c r="N9" s="3"/>
      <c r="O9" s="3"/>
      <c r="P9" s="3"/>
      <c r="Q9" s="3"/>
      <c r="R9" s="3"/>
      <c r="S9" s="3"/>
      <c r="T9" s="3"/>
      <c r="U9" s="3"/>
      <c r="V9" s="3"/>
      <c r="W9" s="3"/>
      <c r="X9" s="3"/>
      <c r="Y9" s="3"/>
      <c r="Z9" s="3"/>
    </row>
    <row r="10" ht="11.25" customHeight="1">
      <c r="A10" s="9"/>
      <c r="B10" s="10"/>
      <c r="C10" s="5">
        <v>46030.0</v>
      </c>
      <c r="D10" s="6" t="s">
        <v>56</v>
      </c>
      <c r="E10" s="7">
        <v>3.0</v>
      </c>
      <c r="F10" s="8"/>
      <c r="G10" s="3"/>
      <c r="H10" s="3"/>
      <c r="I10" s="3"/>
      <c r="J10" s="3"/>
      <c r="K10" s="3"/>
      <c r="L10" s="3"/>
      <c r="M10" s="3"/>
      <c r="N10" s="3"/>
      <c r="O10" s="3"/>
      <c r="P10" s="3"/>
      <c r="Q10" s="3"/>
      <c r="R10" s="3"/>
      <c r="S10" s="3"/>
      <c r="T10" s="3"/>
      <c r="U10" s="3"/>
      <c r="V10" s="3"/>
      <c r="W10" s="3"/>
      <c r="X10" s="3"/>
      <c r="Y10" s="3"/>
      <c r="Z10" s="3"/>
    </row>
    <row r="11" ht="11.25" customHeight="1">
      <c r="A11" s="11"/>
      <c r="B11" s="10"/>
      <c r="C11" s="5">
        <v>46031.0</v>
      </c>
      <c r="D11" s="6" t="s">
        <v>57</v>
      </c>
      <c r="E11" s="7">
        <v>3.0</v>
      </c>
      <c r="F11" s="8"/>
      <c r="G11" s="3"/>
      <c r="H11" s="3"/>
      <c r="I11" s="3"/>
      <c r="J11" s="3"/>
      <c r="K11" s="3"/>
      <c r="L11" s="3"/>
      <c r="M11" s="3"/>
      <c r="N11" s="3"/>
      <c r="O11" s="3"/>
      <c r="P11" s="3"/>
      <c r="Q11" s="3"/>
      <c r="R11" s="3"/>
      <c r="S11" s="3"/>
      <c r="T11" s="3"/>
      <c r="U11" s="3"/>
      <c r="V11" s="3"/>
      <c r="W11" s="3"/>
      <c r="X11" s="3"/>
      <c r="Y11" s="3"/>
      <c r="Z11" s="3"/>
    </row>
    <row r="12" ht="11.25" customHeight="1">
      <c r="A12" s="13" t="s">
        <v>11</v>
      </c>
      <c r="B12" s="14"/>
      <c r="C12" s="5"/>
      <c r="D12" s="16"/>
      <c r="E12" s="17">
        <f>SUM(E7:E11)</f>
        <v>15</v>
      </c>
      <c r="F12" s="8"/>
      <c r="G12" s="3"/>
      <c r="H12" s="3"/>
      <c r="I12" s="3"/>
      <c r="J12" s="3"/>
      <c r="K12" s="3"/>
      <c r="L12" s="3"/>
      <c r="M12" s="3"/>
      <c r="N12" s="3"/>
      <c r="O12" s="3"/>
      <c r="P12" s="3"/>
      <c r="Q12" s="3"/>
      <c r="R12" s="3"/>
      <c r="S12" s="3"/>
      <c r="T12" s="3"/>
      <c r="U12" s="3"/>
      <c r="V12" s="3"/>
      <c r="W12" s="3"/>
      <c r="X12" s="3"/>
      <c r="Y12" s="3"/>
      <c r="Z12" s="3"/>
    </row>
    <row r="13" ht="11.25" customHeight="1">
      <c r="A13" s="4" t="s">
        <v>18</v>
      </c>
      <c r="B13" s="10"/>
      <c r="C13" s="5">
        <v>46034.0</v>
      </c>
      <c r="D13" s="6" t="s">
        <v>58</v>
      </c>
      <c r="E13" s="7">
        <v>3.0</v>
      </c>
      <c r="F13" s="8"/>
      <c r="G13" s="3"/>
      <c r="H13" s="3"/>
      <c r="I13" s="3"/>
      <c r="J13" s="3"/>
      <c r="K13" s="3"/>
      <c r="L13" s="3"/>
      <c r="M13" s="3"/>
      <c r="N13" s="3"/>
      <c r="O13" s="3"/>
      <c r="P13" s="3"/>
      <c r="Q13" s="3"/>
      <c r="R13" s="3"/>
      <c r="S13" s="3"/>
      <c r="T13" s="3"/>
      <c r="U13" s="3"/>
      <c r="V13" s="3"/>
      <c r="W13" s="3"/>
      <c r="X13" s="3"/>
      <c r="Y13" s="3"/>
      <c r="Z13" s="3"/>
    </row>
    <row r="14" ht="11.25" customHeight="1">
      <c r="A14" s="9"/>
      <c r="B14" s="10"/>
      <c r="C14" s="5">
        <v>46035.0</v>
      </c>
      <c r="D14" s="6" t="s">
        <v>59</v>
      </c>
      <c r="E14" s="7">
        <v>3.0</v>
      </c>
      <c r="F14" s="8"/>
      <c r="G14" s="3"/>
      <c r="H14" s="3"/>
      <c r="I14" s="3"/>
      <c r="J14" s="3"/>
      <c r="K14" s="3"/>
      <c r="L14" s="3"/>
      <c r="M14" s="3"/>
      <c r="N14" s="3"/>
      <c r="O14" s="3"/>
      <c r="P14" s="3"/>
      <c r="Q14" s="3"/>
      <c r="R14" s="3"/>
      <c r="S14" s="3"/>
      <c r="T14" s="3"/>
      <c r="U14" s="3"/>
      <c r="V14" s="3"/>
      <c r="W14" s="3"/>
      <c r="X14" s="3"/>
      <c r="Y14" s="3"/>
      <c r="Z14" s="3"/>
    </row>
    <row r="15" ht="11.25" customHeight="1">
      <c r="A15" s="9"/>
      <c r="B15" s="10"/>
      <c r="C15" s="5">
        <v>46036.0</v>
      </c>
      <c r="D15" s="6" t="s">
        <v>60</v>
      </c>
      <c r="E15" s="7">
        <v>3.0</v>
      </c>
      <c r="F15" s="8"/>
      <c r="G15" s="3"/>
      <c r="H15" s="3"/>
      <c r="I15" s="3"/>
      <c r="J15" s="3"/>
      <c r="K15" s="3"/>
      <c r="L15" s="3"/>
      <c r="M15" s="3"/>
      <c r="N15" s="3"/>
      <c r="O15" s="3"/>
      <c r="P15" s="3"/>
      <c r="Q15" s="3"/>
      <c r="R15" s="3"/>
      <c r="S15" s="3"/>
      <c r="T15" s="3"/>
      <c r="U15" s="3"/>
      <c r="V15" s="3"/>
      <c r="W15" s="3"/>
      <c r="X15" s="3"/>
      <c r="Y15" s="3"/>
      <c r="Z15" s="3"/>
    </row>
    <row r="16" ht="11.25" customHeight="1">
      <c r="A16" s="9"/>
      <c r="B16" s="10"/>
      <c r="C16" s="5">
        <v>46037.0</v>
      </c>
      <c r="D16" s="6" t="s">
        <v>61</v>
      </c>
      <c r="E16" s="7">
        <v>4.0</v>
      </c>
      <c r="F16" s="8"/>
      <c r="G16" s="3"/>
      <c r="H16" s="3"/>
      <c r="I16" s="3"/>
      <c r="J16" s="3"/>
      <c r="K16" s="3"/>
      <c r="L16" s="3"/>
      <c r="M16" s="3"/>
      <c r="N16" s="3"/>
      <c r="O16" s="3"/>
      <c r="P16" s="3"/>
      <c r="Q16" s="3"/>
      <c r="R16" s="3"/>
      <c r="S16" s="3"/>
      <c r="T16" s="3"/>
      <c r="U16" s="3"/>
      <c r="V16" s="3"/>
      <c r="W16" s="3"/>
      <c r="X16" s="3"/>
      <c r="Y16" s="3"/>
      <c r="Z16" s="3"/>
    </row>
    <row r="17" ht="11.25" customHeight="1">
      <c r="A17" s="11"/>
      <c r="B17" s="10"/>
      <c r="C17" s="5">
        <v>46038.0</v>
      </c>
      <c r="D17" s="6" t="s">
        <v>62</v>
      </c>
      <c r="E17" s="7">
        <v>4.0</v>
      </c>
      <c r="F17" s="8"/>
      <c r="G17" s="3"/>
      <c r="H17" s="3"/>
      <c r="I17" s="3"/>
      <c r="J17" s="3"/>
      <c r="K17" s="3"/>
      <c r="L17" s="3"/>
      <c r="M17" s="3"/>
      <c r="N17" s="3"/>
      <c r="O17" s="3"/>
      <c r="P17" s="3"/>
      <c r="Q17" s="3"/>
      <c r="R17" s="3"/>
      <c r="S17" s="3"/>
      <c r="T17" s="3"/>
      <c r="U17" s="3"/>
      <c r="V17" s="3"/>
      <c r="W17" s="3"/>
      <c r="X17" s="3"/>
      <c r="Y17" s="3"/>
      <c r="Z17" s="3"/>
    </row>
    <row r="18" ht="11.25" customHeight="1">
      <c r="A18" s="13" t="s">
        <v>11</v>
      </c>
      <c r="B18" s="14"/>
      <c r="C18" s="15"/>
      <c r="D18" s="16"/>
      <c r="E18" s="17">
        <f>SUM(E13:E17)</f>
        <v>17</v>
      </c>
      <c r="F18" s="8"/>
      <c r="G18" s="3"/>
      <c r="H18" s="3"/>
      <c r="I18" s="3"/>
      <c r="J18" s="3"/>
      <c r="K18" s="3"/>
      <c r="L18" s="3"/>
      <c r="M18" s="3"/>
      <c r="N18" s="3"/>
      <c r="O18" s="3"/>
      <c r="P18" s="3"/>
      <c r="Q18" s="3"/>
      <c r="R18" s="3"/>
      <c r="S18" s="3"/>
      <c r="T18" s="3"/>
      <c r="U18" s="3"/>
      <c r="V18" s="3"/>
      <c r="W18" s="3"/>
      <c r="X18" s="3"/>
      <c r="Y18" s="3"/>
      <c r="Z18" s="3"/>
    </row>
    <row r="19" ht="11.25" customHeight="1">
      <c r="A19" s="4" t="s">
        <v>24</v>
      </c>
      <c r="B19" s="10"/>
      <c r="C19" s="5">
        <v>46041.0</v>
      </c>
      <c r="D19" s="6" t="s">
        <v>63</v>
      </c>
      <c r="E19" s="7">
        <v>4.0</v>
      </c>
      <c r="F19" s="8"/>
      <c r="G19" s="3"/>
      <c r="H19" s="3"/>
      <c r="I19" s="3"/>
      <c r="J19" s="3"/>
      <c r="K19" s="3"/>
      <c r="L19" s="3"/>
      <c r="M19" s="3"/>
      <c r="N19" s="3"/>
      <c r="O19" s="3"/>
      <c r="P19" s="3"/>
      <c r="Q19" s="3"/>
      <c r="R19" s="3"/>
      <c r="S19" s="3"/>
      <c r="T19" s="3"/>
      <c r="U19" s="3"/>
      <c r="V19" s="3"/>
      <c r="W19" s="3"/>
      <c r="X19" s="3"/>
      <c r="Y19" s="3"/>
      <c r="Z19" s="3"/>
    </row>
    <row r="20" ht="11.25" customHeight="1">
      <c r="A20" s="9"/>
      <c r="B20" s="10"/>
      <c r="C20" s="5">
        <v>46042.0</v>
      </c>
      <c r="D20" s="6" t="s">
        <v>64</v>
      </c>
      <c r="E20" s="7">
        <v>3.0</v>
      </c>
      <c r="F20" s="8"/>
      <c r="G20" s="3"/>
      <c r="H20" s="3"/>
      <c r="I20" s="3"/>
      <c r="J20" s="3"/>
      <c r="K20" s="3"/>
      <c r="L20" s="3"/>
      <c r="M20" s="3"/>
      <c r="N20" s="3"/>
      <c r="O20" s="3"/>
      <c r="P20" s="3"/>
      <c r="Q20" s="3"/>
      <c r="R20" s="3"/>
      <c r="S20" s="3"/>
      <c r="T20" s="3"/>
      <c r="U20" s="3"/>
      <c r="V20" s="3"/>
      <c r="W20" s="3"/>
      <c r="X20" s="3"/>
      <c r="Y20" s="3"/>
      <c r="Z20" s="3"/>
    </row>
    <row r="21" ht="11.25" customHeight="1">
      <c r="A21" s="9"/>
      <c r="B21" s="10"/>
      <c r="C21" s="5">
        <v>46043.0</v>
      </c>
      <c r="D21" s="6" t="s">
        <v>65</v>
      </c>
      <c r="E21" s="7">
        <v>4.0</v>
      </c>
      <c r="F21" s="8"/>
      <c r="G21" s="3"/>
      <c r="H21" s="3"/>
      <c r="I21" s="3"/>
      <c r="J21" s="3"/>
      <c r="K21" s="3"/>
      <c r="L21" s="3"/>
      <c r="M21" s="3"/>
      <c r="N21" s="3"/>
      <c r="O21" s="3"/>
      <c r="P21" s="3"/>
      <c r="Q21" s="3"/>
      <c r="R21" s="3"/>
      <c r="S21" s="3"/>
      <c r="T21" s="3"/>
      <c r="U21" s="3"/>
      <c r="V21" s="3"/>
      <c r="W21" s="3"/>
      <c r="X21" s="3"/>
      <c r="Y21" s="3"/>
      <c r="Z21" s="3"/>
    </row>
    <row r="22" ht="11.25" customHeight="1">
      <c r="A22" s="9"/>
      <c r="B22" s="10"/>
      <c r="C22" s="5">
        <v>46044.0</v>
      </c>
      <c r="D22" s="6" t="s">
        <v>66</v>
      </c>
      <c r="E22" s="7">
        <v>1.0</v>
      </c>
      <c r="F22" s="8"/>
      <c r="G22" s="3"/>
      <c r="H22" s="3"/>
      <c r="I22" s="3"/>
      <c r="J22" s="3"/>
      <c r="K22" s="3"/>
      <c r="L22" s="3"/>
      <c r="M22" s="3"/>
      <c r="N22" s="3"/>
      <c r="O22" s="3"/>
      <c r="P22" s="3"/>
      <c r="Q22" s="3"/>
      <c r="R22" s="3"/>
      <c r="S22" s="3"/>
      <c r="T22" s="3"/>
      <c r="U22" s="3"/>
      <c r="V22" s="3"/>
      <c r="W22" s="3"/>
      <c r="X22" s="3"/>
      <c r="Y22" s="3"/>
      <c r="Z22" s="3"/>
    </row>
    <row r="23" ht="11.25" customHeight="1">
      <c r="A23" s="11"/>
      <c r="B23" s="10"/>
      <c r="C23" s="5">
        <v>46046.0</v>
      </c>
      <c r="D23" s="6" t="s">
        <v>67</v>
      </c>
      <c r="E23" s="7">
        <v>2.0</v>
      </c>
      <c r="F23" s="21" t="s">
        <v>68</v>
      </c>
      <c r="G23" s="3"/>
      <c r="H23" s="3"/>
      <c r="I23" s="3"/>
      <c r="J23" s="3"/>
      <c r="K23" s="3"/>
      <c r="L23" s="3"/>
      <c r="M23" s="3"/>
      <c r="N23" s="3"/>
      <c r="O23" s="3"/>
      <c r="P23" s="3"/>
      <c r="Q23" s="3"/>
      <c r="R23" s="3"/>
      <c r="S23" s="3"/>
      <c r="T23" s="3"/>
      <c r="U23" s="3"/>
      <c r="V23" s="3"/>
      <c r="W23" s="3"/>
      <c r="X23" s="3"/>
      <c r="Y23" s="3"/>
      <c r="Z23" s="3"/>
    </row>
    <row r="24" ht="11.25" customHeight="1">
      <c r="A24" s="13" t="s">
        <v>11</v>
      </c>
      <c r="B24" s="14"/>
      <c r="C24" s="5"/>
      <c r="D24" s="16"/>
      <c r="E24" s="17">
        <f>SUM(E19:E23)</f>
        <v>14</v>
      </c>
      <c r="F24" s="8"/>
      <c r="G24" s="3"/>
      <c r="H24" s="3"/>
      <c r="I24" s="3"/>
      <c r="J24" s="3"/>
      <c r="K24" s="3"/>
      <c r="L24" s="3"/>
      <c r="M24" s="3"/>
      <c r="N24" s="3"/>
      <c r="O24" s="3"/>
      <c r="P24" s="3"/>
      <c r="Q24" s="3"/>
      <c r="R24" s="3"/>
      <c r="S24" s="3"/>
      <c r="T24" s="3"/>
      <c r="U24" s="3"/>
      <c r="V24" s="3"/>
      <c r="W24" s="3"/>
      <c r="X24" s="3"/>
      <c r="Y24" s="3"/>
      <c r="Z24" s="3"/>
    </row>
    <row r="25" ht="11.25" customHeight="1">
      <c r="A25" s="20" t="s">
        <v>48</v>
      </c>
      <c r="B25" s="10"/>
      <c r="D25" s="10"/>
      <c r="E25" s="7"/>
      <c r="F25" s="8"/>
      <c r="G25" s="3"/>
      <c r="H25" s="3"/>
      <c r="I25" s="3"/>
      <c r="J25" s="3"/>
      <c r="K25" s="3"/>
      <c r="L25" s="3"/>
      <c r="M25" s="3"/>
      <c r="N25" s="3"/>
      <c r="O25" s="3"/>
      <c r="P25" s="3"/>
      <c r="Q25" s="3"/>
      <c r="R25" s="3"/>
      <c r="S25" s="3"/>
      <c r="T25" s="3"/>
      <c r="U25" s="3"/>
      <c r="V25" s="3"/>
      <c r="W25" s="3"/>
      <c r="X25" s="3"/>
      <c r="Y25" s="3"/>
      <c r="Z25" s="3"/>
    </row>
    <row r="26" ht="11.25" customHeight="1">
      <c r="A26" s="9"/>
      <c r="B26" s="10"/>
      <c r="C26" s="5">
        <v>46048.0</v>
      </c>
      <c r="D26" s="6" t="s">
        <v>69</v>
      </c>
      <c r="E26" s="7">
        <v>3.0</v>
      </c>
      <c r="F26" s="8"/>
      <c r="G26" s="3"/>
      <c r="H26" s="3"/>
      <c r="I26" s="3"/>
      <c r="J26" s="3"/>
      <c r="K26" s="3"/>
      <c r="L26" s="3"/>
      <c r="M26" s="3"/>
      <c r="N26" s="3"/>
      <c r="O26" s="3"/>
      <c r="P26" s="3"/>
      <c r="Q26" s="3"/>
      <c r="R26" s="3"/>
      <c r="S26" s="3"/>
      <c r="T26" s="3"/>
      <c r="U26" s="3"/>
      <c r="V26" s="3"/>
      <c r="W26" s="3"/>
      <c r="X26" s="3"/>
      <c r="Y26" s="3"/>
      <c r="Z26" s="3"/>
    </row>
    <row r="27" ht="11.25" customHeight="1">
      <c r="A27" s="9"/>
      <c r="B27" s="10"/>
      <c r="C27" s="5">
        <v>46049.0</v>
      </c>
      <c r="D27" s="6" t="s">
        <v>70</v>
      </c>
      <c r="E27" s="7">
        <v>3.0</v>
      </c>
      <c r="F27" s="8"/>
      <c r="G27" s="3"/>
      <c r="H27" s="3"/>
      <c r="I27" s="3"/>
      <c r="J27" s="3"/>
      <c r="K27" s="3"/>
      <c r="L27" s="3"/>
      <c r="M27" s="3"/>
      <c r="N27" s="3"/>
      <c r="O27" s="3"/>
      <c r="P27" s="3"/>
      <c r="Q27" s="3"/>
      <c r="R27" s="3"/>
      <c r="S27" s="3"/>
      <c r="T27" s="3"/>
      <c r="U27" s="3"/>
      <c r="V27" s="3"/>
      <c r="W27" s="3"/>
      <c r="X27" s="3"/>
      <c r="Y27" s="3"/>
      <c r="Z27" s="3"/>
    </row>
    <row r="28" ht="11.25" customHeight="1">
      <c r="A28" s="9"/>
      <c r="B28" s="10"/>
      <c r="C28" s="5">
        <v>46050.0</v>
      </c>
      <c r="D28" s="6" t="s">
        <v>71</v>
      </c>
      <c r="E28" s="7">
        <v>3.0</v>
      </c>
      <c r="F28" s="8"/>
      <c r="G28" s="3"/>
      <c r="H28" s="3"/>
      <c r="I28" s="3"/>
      <c r="J28" s="3"/>
      <c r="K28" s="3"/>
      <c r="L28" s="3"/>
      <c r="M28" s="3"/>
      <c r="N28" s="3"/>
      <c r="O28" s="3"/>
      <c r="P28" s="3"/>
      <c r="Q28" s="3"/>
      <c r="R28" s="3"/>
      <c r="S28" s="3"/>
      <c r="T28" s="3"/>
      <c r="U28" s="3"/>
      <c r="V28" s="3"/>
      <c r="W28" s="3"/>
      <c r="X28" s="3"/>
      <c r="Y28" s="3"/>
      <c r="Z28" s="3"/>
    </row>
    <row r="29" ht="11.25" customHeight="1">
      <c r="A29" s="9"/>
      <c r="B29" s="10"/>
      <c r="C29" s="5">
        <v>46051.0</v>
      </c>
      <c r="D29" s="6" t="s">
        <v>72</v>
      </c>
      <c r="E29" s="7">
        <v>3.0</v>
      </c>
      <c r="F29" s="8"/>
      <c r="G29" s="3"/>
      <c r="H29" s="3"/>
      <c r="I29" s="3"/>
      <c r="J29" s="3"/>
      <c r="K29" s="3"/>
      <c r="L29" s="3"/>
      <c r="M29" s="3"/>
      <c r="N29" s="3"/>
      <c r="O29" s="3"/>
      <c r="P29" s="3"/>
      <c r="Q29" s="3"/>
      <c r="R29" s="3"/>
      <c r="S29" s="3"/>
      <c r="T29" s="3"/>
      <c r="U29" s="3"/>
      <c r="V29" s="3"/>
      <c r="W29" s="3"/>
      <c r="X29" s="3"/>
      <c r="Y29" s="3"/>
      <c r="Z29" s="3"/>
    </row>
    <row r="30" ht="11.25" customHeight="1">
      <c r="A30" s="11"/>
      <c r="B30" s="10"/>
      <c r="C30" s="5">
        <v>46052.0</v>
      </c>
      <c r="D30" s="6" t="s">
        <v>73</v>
      </c>
      <c r="E30" s="7">
        <v>3.0</v>
      </c>
      <c r="F30" s="8"/>
      <c r="G30" s="3"/>
      <c r="H30" s="3"/>
      <c r="I30" s="3"/>
      <c r="J30" s="3"/>
      <c r="K30" s="3"/>
      <c r="L30" s="3"/>
      <c r="M30" s="3"/>
      <c r="N30" s="3"/>
      <c r="O30" s="3"/>
      <c r="P30" s="3"/>
      <c r="Q30" s="3"/>
      <c r="R30" s="3"/>
      <c r="S30" s="3"/>
      <c r="T30" s="3"/>
      <c r="U30" s="3"/>
      <c r="V30" s="3"/>
      <c r="W30" s="3"/>
      <c r="X30" s="3"/>
      <c r="Y30" s="3"/>
      <c r="Z30" s="3"/>
    </row>
    <row r="31" ht="11.25" customHeight="1">
      <c r="A31" s="13" t="s">
        <v>11</v>
      </c>
      <c r="B31" s="14"/>
      <c r="C31" s="5"/>
      <c r="D31" s="16"/>
      <c r="E31" s="17">
        <f>SUM(E25:E30)</f>
        <v>15</v>
      </c>
      <c r="F31" s="8"/>
      <c r="G31" s="3"/>
      <c r="H31" s="3"/>
      <c r="I31" s="3"/>
      <c r="J31" s="3"/>
      <c r="K31" s="3"/>
      <c r="L31" s="3"/>
      <c r="M31" s="3"/>
      <c r="N31" s="3"/>
      <c r="O31" s="3"/>
      <c r="P31" s="3"/>
      <c r="Q31" s="3"/>
      <c r="R31" s="3"/>
      <c r="S31" s="3"/>
      <c r="T31" s="3"/>
      <c r="U31" s="3"/>
      <c r="V31" s="3"/>
      <c r="W31" s="3"/>
      <c r="X31" s="3"/>
      <c r="Y31" s="3"/>
      <c r="Z31" s="3"/>
    </row>
    <row r="32" ht="11.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1.25" customHeight="1">
      <c r="A33" s="3"/>
      <c r="B33" s="3"/>
      <c r="C33" s="3"/>
      <c r="D33" s="18" t="s">
        <v>29</v>
      </c>
      <c r="E33" s="19">
        <f>SUM(E31+E24+E18+E12+E6)</f>
        <v>69</v>
      </c>
      <c r="F33" s="3"/>
      <c r="G33" s="3"/>
      <c r="H33" s="3"/>
      <c r="I33" s="3"/>
      <c r="J33" s="3"/>
      <c r="K33" s="3"/>
      <c r="L33" s="3"/>
      <c r="M33" s="3"/>
      <c r="N33" s="3"/>
      <c r="O33" s="3"/>
      <c r="P33" s="3"/>
      <c r="Q33" s="3"/>
      <c r="R33" s="3"/>
      <c r="S33" s="3"/>
      <c r="T33" s="3"/>
      <c r="U33" s="3"/>
      <c r="V33" s="3"/>
      <c r="W33" s="3"/>
      <c r="X33" s="3"/>
      <c r="Y33" s="3"/>
      <c r="Z33" s="3"/>
    </row>
    <row r="34" ht="11.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1.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1.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1.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1.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1.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1.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1.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1.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1.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1.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1.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1.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1.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1.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1.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1.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1.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1.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1.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1.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1.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1.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1.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1.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1.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1.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1.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1.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1.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1.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1.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1.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1.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1.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1.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1.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1.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1.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1.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1.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1.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1.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1.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1.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1.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1.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1.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1.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1.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1.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1.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1.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1.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1.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1.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1.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1.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1.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1.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1.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1.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1.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1.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1.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1.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1.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1.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1.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1.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1.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1.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1.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1.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1.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1.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1.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1.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1.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1.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1.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1.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1.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1.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1.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1.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1.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1.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1.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1.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1.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1.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1.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1.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1.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1.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1.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1.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1.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1.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1.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1.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1.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1.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1.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1.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1.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1.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1.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1.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1.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1.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1.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1.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1.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1.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1.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1.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1.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1.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1.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1.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1.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1.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1.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1.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1.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1.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1.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1.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1.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1.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1.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1.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1.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1.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1.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1.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1.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1.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1.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1.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1.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1.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1.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1.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1.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1.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1.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1.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1.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1.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1.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1.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1.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1.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1.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1.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1.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1.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1.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1.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1.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1.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1.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1.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1.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1.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1.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1.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1.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1.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1.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1.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1.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1.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1.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1.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1.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1.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1.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1.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1.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1.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1.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1.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1.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1.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1.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1.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1.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1.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1.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1.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1.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1.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1.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1.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1.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1.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1.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1.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1.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1.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1.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1.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1.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1.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1.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1.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1.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1.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1.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1.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1.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1.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1.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1.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1.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1.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1.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1.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1.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1.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1.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1.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1.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1.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1.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1.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1.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1.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1.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1.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1.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1.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1.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1.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1.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1.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1.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1.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1.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1.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1.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1.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1.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1.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1.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1.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1.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1.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1.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1.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1.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1.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1.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1.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1.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1.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1.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1.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1.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1.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1.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1.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1.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1.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1.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1.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1.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1.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1.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1.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1.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1.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1.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1.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1.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1.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1.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1.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1.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1.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1.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1.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1.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1.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1.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1.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1.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1.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1.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1.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1.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1.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1.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1.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1.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1.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1.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1.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1.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1.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1.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1.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1.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1.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1.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1.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1.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1.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1.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1.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1.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1.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1.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1.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1.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1.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1.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1.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1.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1.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1.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1.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1.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1.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1.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1.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1.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1.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1.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1.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1.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1.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1.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1.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1.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1.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1.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1.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1.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1.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1.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1.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1.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1.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1.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1.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1.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1.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1.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1.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1.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1.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1.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1.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1.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1.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1.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1.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1.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1.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1.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1.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1.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1.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1.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1.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1.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1.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1.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1.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1.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1.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1.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1.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1.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1.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1.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1.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1.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1.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1.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1.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1.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1.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1.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1.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1.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1.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1.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1.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1.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1.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1.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1.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1.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1.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1.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1.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1.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1.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1.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1.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1.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1.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1.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1.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1.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1.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1.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1.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1.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1.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1.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1.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1.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1.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1.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1.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1.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1.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1.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1.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1.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1.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1.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1.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1.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1.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1.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1.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1.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1.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1.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1.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1.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1.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1.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1.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1.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1.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1.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1.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1.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1.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1.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1.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1.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1.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1.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1.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1.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1.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1.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1.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1.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1.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1.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1.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1.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1.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1.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1.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1.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1.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1.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1.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1.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1.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1.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1.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1.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1.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1.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1.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1.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1.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1.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1.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1.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1.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1.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1.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1.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1.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1.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1.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1.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1.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1.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1.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1.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1.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1.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1.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1.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1.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1.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1.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1.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1.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1.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1.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1.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1.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1.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1.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1.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1.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1.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1.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1.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1.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1.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1.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1.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1.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1.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1.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1.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1.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1.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1.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1.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1.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1.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1.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1.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1.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1.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1.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1.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1.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1.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1.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1.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1.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1.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1.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1.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1.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1.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1.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1.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1.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1.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1.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1.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1.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1.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1.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1.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1.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1.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1.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1.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1.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1.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1.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1.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1.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1.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1.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1.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1.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1.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1.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1.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1.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1.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1.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1.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1.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1.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1.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1.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1.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1.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1.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1.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1.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1.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1.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1.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1.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1.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1.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1.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1.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1.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1.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1.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1.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1.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1.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1.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1.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1.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1.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1.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1.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1.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1.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1.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1.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1.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1.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1.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1.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1.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1.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1.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1.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1.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1.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1.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1.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1.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1.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1.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1.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1.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1.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1.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1.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1.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1.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1.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1.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1.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1.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1.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1.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1.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1.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1.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1.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1.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1.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1.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1.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1.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1.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1.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1.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1.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1.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1.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1.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1.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1.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1.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1.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1.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1.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1.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1.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1.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1.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1.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1.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1.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1.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1.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1.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1.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1.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1.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1.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1.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1.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1.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1.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1.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1.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1.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1.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1.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1.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1.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1.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1.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1.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1.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1.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1.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1.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1.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1.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1.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1.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1.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1.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1.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1.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1.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1.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1.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1.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1.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1.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1.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1.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1.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1.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1.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1.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1.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1.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1.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1.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1.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1.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1.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1.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1.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1.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1.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1.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1.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1.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1.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1.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1.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1.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1.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1.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1.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1.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1.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1.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1.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1.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1.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1.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1.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1.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1.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1.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1.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1.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1.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1.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1.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1.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1.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1.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1.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1.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1.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1.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1.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1.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1.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1.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1.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1.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1.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1.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1.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1.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1.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1.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1.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1.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1.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1.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1.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1.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1.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1.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1.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1.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1.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1.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1.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1.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1.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1.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1.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1.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1.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1.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1.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1.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1.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1.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1.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1.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1.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1.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1.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1.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1.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1.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1.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1.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1.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1.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1.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1.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1.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1.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1.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1.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1.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1.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1.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1.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1.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1.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1.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1.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1.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1.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1.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1.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1.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1.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1.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1.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1.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1.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1.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1.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1.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1.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1.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1.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1.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1.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1.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1.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1.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1.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1.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1.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1.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1.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1.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1.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1.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1.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1.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1.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1.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1.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1.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1.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1.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1.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1.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1.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1.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1.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1.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1.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1.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1.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1.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1.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1.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1.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1.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1.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1.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1.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1.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1.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1.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1.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1.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1.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1.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1.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1.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1.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1.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1.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1.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1.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1.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1.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1.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1.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1.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1.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1.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1.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1.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1.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1.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1.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1.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1.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1.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1.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1.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1.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1.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1.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1.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1.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1.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1.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1.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1.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1.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1.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1.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1.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1.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1.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1.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1.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1.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1.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1.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1.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1.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1.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1.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1.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1.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1.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1.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1.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1.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1.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1.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1.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1.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1.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1.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1.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1.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1.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1.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1.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1.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1.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1.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1.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1.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1.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1.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1.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1.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1.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1.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1.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1.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1.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1.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1.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1.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1.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1.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1.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1.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1.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1.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1.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1.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1.2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1.2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1.2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1.2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1.2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1.2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sheetData>
  <mergeCells count="5">
    <mergeCell ref="A2:A5"/>
    <mergeCell ref="A7:A11"/>
    <mergeCell ref="A13:A17"/>
    <mergeCell ref="A19:A23"/>
    <mergeCell ref="A25:A3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8.29"/>
    <col customWidth="1" min="3" max="3" width="24.0"/>
    <col customWidth="1" min="4" max="4" width="62.0"/>
    <col customWidth="1" min="5" max="5" width="16.43"/>
    <col customWidth="1" min="6" max="6" width="17.86"/>
    <col customWidth="1" min="7" max="26" width="8.71"/>
  </cols>
  <sheetData>
    <row r="1" ht="11.25" customHeight="1">
      <c r="A1" s="1" t="s">
        <v>0</v>
      </c>
      <c r="B1" s="2" t="s">
        <v>1</v>
      </c>
      <c r="C1" s="1" t="s">
        <v>2</v>
      </c>
      <c r="D1" s="1" t="s">
        <v>3</v>
      </c>
      <c r="E1" s="1" t="s">
        <v>4</v>
      </c>
      <c r="F1" s="2" t="s">
        <v>5</v>
      </c>
      <c r="G1" s="3"/>
      <c r="H1" s="3"/>
      <c r="I1" s="3"/>
      <c r="J1" s="3"/>
      <c r="K1" s="3"/>
      <c r="L1" s="3"/>
      <c r="M1" s="3"/>
      <c r="N1" s="3"/>
      <c r="O1" s="3"/>
      <c r="P1" s="3"/>
      <c r="Q1" s="3"/>
      <c r="R1" s="3"/>
      <c r="S1" s="3"/>
      <c r="T1" s="3"/>
      <c r="U1" s="3"/>
      <c r="V1" s="3"/>
      <c r="W1" s="3"/>
      <c r="X1" s="3"/>
      <c r="Y1" s="3"/>
      <c r="Z1" s="3"/>
    </row>
    <row r="2" ht="11.25" customHeight="1">
      <c r="A2" s="4" t="s">
        <v>6</v>
      </c>
      <c r="C2" s="5">
        <v>46023.0</v>
      </c>
      <c r="D2" s="6"/>
      <c r="E2" s="7">
        <v>3.0</v>
      </c>
      <c r="F2" s="8"/>
      <c r="G2" s="3"/>
      <c r="H2" s="3"/>
      <c r="I2" s="3"/>
      <c r="J2" s="3"/>
      <c r="K2" s="3"/>
      <c r="L2" s="3"/>
      <c r="M2" s="3"/>
      <c r="N2" s="3"/>
      <c r="O2" s="3"/>
      <c r="P2" s="3"/>
      <c r="Q2" s="3"/>
      <c r="R2" s="3"/>
      <c r="S2" s="3"/>
      <c r="T2" s="3"/>
      <c r="U2" s="3"/>
      <c r="V2" s="3"/>
      <c r="W2" s="3"/>
      <c r="X2" s="3"/>
      <c r="Y2" s="3"/>
      <c r="Z2" s="3"/>
    </row>
    <row r="3" ht="11.25" customHeight="1">
      <c r="A3" s="9"/>
      <c r="B3" s="10"/>
      <c r="C3" s="5">
        <v>46024.0</v>
      </c>
      <c r="D3" s="6"/>
      <c r="E3" s="7">
        <v>5.0</v>
      </c>
      <c r="F3" s="8"/>
      <c r="G3" s="3"/>
      <c r="H3" s="3"/>
      <c r="I3" s="3"/>
      <c r="J3" s="3"/>
      <c r="K3" s="3"/>
      <c r="L3" s="3"/>
      <c r="M3" s="3"/>
      <c r="N3" s="3"/>
      <c r="O3" s="3"/>
      <c r="P3" s="3"/>
      <c r="Q3" s="3"/>
      <c r="R3" s="3"/>
      <c r="S3" s="3"/>
      <c r="T3" s="3"/>
      <c r="U3" s="3"/>
      <c r="V3" s="3"/>
      <c r="W3" s="3"/>
      <c r="X3" s="3"/>
      <c r="Y3" s="3"/>
      <c r="Z3" s="3"/>
    </row>
    <row r="4" ht="11.25" customHeight="1">
      <c r="A4" s="9"/>
      <c r="B4" s="10"/>
      <c r="C4" s="5">
        <v>46025.0</v>
      </c>
      <c r="D4" s="6"/>
      <c r="E4" s="7"/>
      <c r="F4" s="8"/>
      <c r="G4" s="3"/>
      <c r="H4" s="3"/>
      <c r="I4" s="3"/>
      <c r="J4" s="3"/>
      <c r="K4" s="3"/>
      <c r="L4" s="3"/>
      <c r="M4" s="3"/>
      <c r="N4" s="3"/>
      <c r="O4" s="3"/>
      <c r="P4" s="3"/>
      <c r="Q4" s="3"/>
      <c r="R4" s="3"/>
      <c r="S4" s="3"/>
      <c r="T4" s="3"/>
      <c r="U4" s="3"/>
      <c r="V4" s="3"/>
      <c r="W4" s="3"/>
      <c r="X4" s="3"/>
      <c r="Y4" s="3"/>
      <c r="Z4" s="3"/>
    </row>
    <row r="5" ht="11.25" customHeight="1">
      <c r="A5" s="11"/>
      <c r="B5" s="10"/>
      <c r="C5" s="5">
        <v>46026.0</v>
      </c>
      <c r="D5" s="6"/>
      <c r="E5" s="7"/>
      <c r="F5" s="8"/>
      <c r="G5" s="3"/>
      <c r="H5" s="3"/>
      <c r="I5" s="3"/>
      <c r="J5" s="3"/>
      <c r="K5" s="3"/>
      <c r="L5" s="3"/>
      <c r="M5" s="3"/>
      <c r="N5" s="3"/>
      <c r="O5" s="3"/>
      <c r="P5" s="3"/>
      <c r="Q5" s="3"/>
      <c r="R5" s="3"/>
      <c r="S5" s="3"/>
      <c r="T5" s="3"/>
      <c r="U5" s="3"/>
      <c r="V5" s="3"/>
      <c r="W5" s="3"/>
      <c r="X5" s="3"/>
      <c r="Y5" s="3"/>
      <c r="Z5" s="3"/>
    </row>
    <row r="6" ht="11.25" customHeight="1">
      <c r="A6" s="13" t="s">
        <v>11</v>
      </c>
      <c r="B6" s="14"/>
      <c r="C6" s="15"/>
      <c r="D6" s="16"/>
      <c r="E6" s="17">
        <f>SUM(E2:E5)</f>
        <v>8</v>
      </c>
      <c r="F6" s="8"/>
      <c r="G6" s="3"/>
      <c r="H6" s="3"/>
      <c r="I6" s="3"/>
      <c r="J6" s="3"/>
      <c r="K6" s="3"/>
      <c r="L6" s="3"/>
      <c r="M6" s="3"/>
      <c r="N6" s="3"/>
      <c r="O6" s="3"/>
      <c r="P6" s="3"/>
      <c r="Q6" s="3"/>
      <c r="R6" s="3"/>
      <c r="S6" s="3"/>
      <c r="T6" s="3"/>
      <c r="U6" s="3"/>
      <c r="V6" s="3"/>
      <c r="W6" s="3"/>
      <c r="X6" s="3"/>
      <c r="Y6" s="3"/>
      <c r="Z6" s="3"/>
    </row>
    <row r="7" ht="11.25" customHeight="1">
      <c r="A7" s="4" t="s">
        <v>12</v>
      </c>
      <c r="B7" s="10"/>
      <c r="C7" s="5">
        <v>46027.0</v>
      </c>
      <c r="D7" s="6"/>
      <c r="E7" s="7">
        <v>3.0</v>
      </c>
      <c r="F7" s="8"/>
      <c r="G7" s="3"/>
      <c r="H7" s="3"/>
      <c r="I7" s="3"/>
      <c r="J7" s="3"/>
      <c r="K7" s="3"/>
      <c r="L7" s="3"/>
      <c r="M7" s="3"/>
      <c r="N7" s="3"/>
      <c r="O7" s="3"/>
      <c r="P7" s="3"/>
      <c r="Q7" s="3"/>
      <c r="R7" s="3"/>
      <c r="S7" s="3"/>
      <c r="T7" s="3"/>
      <c r="U7" s="3"/>
      <c r="V7" s="3"/>
      <c r="W7" s="3"/>
      <c r="X7" s="3"/>
      <c r="Y7" s="3"/>
      <c r="Z7" s="3"/>
    </row>
    <row r="8" ht="11.25" customHeight="1">
      <c r="A8" s="9"/>
      <c r="B8" s="10"/>
      <c r="C8" s="5">
        <v>46028.0</v>
      </c>
      <c r="D8" s="6"/>
      <c r="E8" s="7">
        <v>3.0</v>
      </c>
      <c r="F8" s="8"/>
      <c r="G8" s="3"/>
      <c r="H8" s="3"/>
      <c r="I8" s="3"/>
      <c r="J8" s="3"/>
      <c r="K8" s="3"/>
      <c r="L8" s="3"/>
      <c r="M8" s="3"/>
      <c r="N8" s="3"/>
      <c r="O8" s="3"/>
      <c r="P8" s="3"/>
      <c r="Q8" s="3"/>
      <c r="R8" s="3"/>
      <c r="S8" s="3"/>
      <c r="T8" s="3"/>
      <c r="U8" s="3"/>
      <c r="V8" s="3"/>
      <c r="W8" s="3"/>
      <c r="X8" s="3"/>
      <c r="Y8" s="3"/>
      <c r="Z8" s="3"/>
    </row>
    <row r="9" ht="11.25" customHeight="1">
      <c r="A9" s="9"/>
      <c r="B9" s="10"/>
      <c r="C9" s="5">
        <v>46029.0</v>
      </c>
      <c r="D9" s="6"/>
      <c r="E9" s="7">
        <v>3.0</v>
      </c>
      <c r="F9" s="8"/>
      <c r="G9" s="3"/>
      <c r="H9" s="3"/>
      <c r="I9" s="3"/>
      <c r="J9" s="3"/>
      <c r="K9" s="3"/>
      <c r="L9" s="3"/>
      <c r="M9" s="3"/>
      <c r="N9" s="3"/>
      <c r="O9" s="3"/>
      <c r="P9" s="3"/>
      <c r="Q9" s="3"/>
      <c r="R9" s="3"/>
      <c r="S9" s="3"/>
      <c r="T9" s="3"/>
      <c r="U9" s="3"/>
      <c r="V9" s="3"/>
      <c r="W9" s="3"/>
      <c r="X9" s="3"/>
      <c r="Y9" s="3"/>
      <c r="Z9" s="3"/>
    </row>
    <row r="10" ht="11.25" customHeight="1">
      <c r="A10" s="9"/>
      <c r="B10" s="10"/>
      <c r="C10" s="5">
        <v>46030.0</v>
      </c>
      <c r="D10" s="6"/>
      <c r="E10" s="7">
        <v>3.0</v>
      </c>
      <c r="F10" s="8"/>
      <c r="G10" s="3"/>
      <c r="H10" s="3"/>
      <c r="I10" s="3"/>
      <c r="J10" s="3"/>
      <c r="K10" s="3"/>
      <c r="L10" s="3"/>
      <c r="M10" s="3"/>
      <c r="N10" s="3"/>
      <c r="O10" s="3"/>
      <c r="P10" s="3"/>
      <c r="Q10" s="3"/>
      <c r="R10" s="3"/>
      <c r="S10" s="3"/>
      <c r="T10" s="3"/>
      <c r="U10" s="3"/>
      <c r="V10" s="3"/>
      <c r="W10" s="3"/>
      <c r="X10" s="3"/>
      <c r="Y10" s="3"/>
      <c r="Z10" s="3"/>
    </row>
    <row r="11" ht="11.25" customHeight="1">
      <c r="A11" s="11"/>
      <c r="B11" s="10"/>
      <c r="C11" s="5">
        <v>46031.0</v>
      </c>
      <c r="D11" s="6"/>
      <c r="E11" s="7">
        <v>3.0</v>
      </c>
      <c r="F11" s="8"/>
      <c r="G11" s="3"/>
      <c r="H11" s="3"/>
      <c r="I11" s="3"/>
      <c r="J11" s="3"/>
      <c r="K11" s="3"/>
      <c r="L11" s="3"/>
      <c r="M11" s="3"/>
      <c r="N11" s="3"/>
      <c r="O11" s="3"/>
      <c r="P11" s="3"/>
      <c r="Q11" s="3"/>
      <c r="R11" s="3"/>
      <c r="S11" s="3"/>
      <c r="T11" s="3"/>
      <c r="U11" s="3"/>
      <c r="V11" s="3"/>
      <c r="W11" s="3"/>
      <c r="X11" s="3"/>
      <c r="Y11" s="3"/>
      <c r="Z11" s="3"/>
    </row>
    <row r="12" ht="11.25" customHeight="1">
      <c r="A12" s="13" t="s">
        <v>11</v>
      </c>
      <c r="B12" s="14"/>
      <c r="C12" s="5"/>
      <c r="D12" s="16"/>
      <c r="E12" s="17">
        <f>SUM(E7:E11)</f>
        <v>15</v>
      </c>
      <c r="F12" s="8"/>
      <c r="G12" s="3"/>
      <c r="H12" s="3"/>
      <c r="I12" s="3"/>
      <c r="J12" s="3"/>
      <c r="K12" s="3"/>
      <c r="L12" s="3"/>
      <c r="M12" s="3"/>
      <c r="N12" s="3"/>
      <c r="O12" s="3"/>
      <c r="P12" s="3"/>
      <c r="Q12" s="3"/>
      <c r="R12" s="3"/>
      <c r="S12" s="3"/>
      <c r="T12" s="3"/>
      <c r="U12" s="3"/>
      <c r="V12" s="3"/>
      <c r="W12" s="3"/>
      <c r="X12" s="3"/>
      <c r="Y12" s="3"/>
      <c r="Z12" s="3"/>
    </row>
    <row r="13" ht="11.25" customHeight="1">
      <c r="A13" s="4" t="s">
        <v>18</v>
      </c>
      <c r="B13" s="10"/>
      <c r="C13" s="5">
        <v>46034.0</v>
      </c>
      <c r="D13" s="6"/>
      <c r="E13" s="7">
        <v>3.0</v>
      </c>
      <c r="F13" s="8"/>
      <c r="G13" s="3"/>
      <c r="H13" s="3"/>
      <c r="I13" s="3"/>
      <c r="J13" s="3"/>
      <c r="K13" s="3"/>
      <c r="L13" s="3"/>
      <c r="M13" s="3"/>
      <c r="N13" s="3"/>
      <c r="O13" s="3"/>
      <c r="P13" s="3"/>
      <c r="Q13" s="3"/>
      <c r="R13" s="3"/>
      <c r="S13" s="3"/>
      <c r="T13" s="3"/>
      <c r="U13" s="3"/>
      <c r="V13" s="3"/>
      <c r="W13" s="3"/>
      <c r="X13" s="3"/>
      <c r="Y13" s="3"/>
      <c r="Z13" s="3"/>
    </row>
    <row r="14" ht="11.25" customHeight="1">
      <c r="A14" s="9"/>
      <c r="B14" s="10"/>
      <c r="C14" s="5">
        <v>46035.0</v>
      </c>
      <c r="D14" s="6"/>
      <c r="E14" s="7">
        <v>3.0</v>
      </c>
      <c r="F14" s="8"/>
      <c r="G14" s="3"/>
      <c r="H14" s="3"/>
      <c r="I14" s="3"/>
      <c r="J14" s="3"/>
      <c r="K14" s="3"/>
      <c r="L14" s="3"/>
      <c r="M14" s="3"/>
      <c r="N14" s="3"/>
      <c r="O14" s="3"/>
      <c r="P14" s="3"/>
      <c r="Q14" s="3"/>
      <c r="R14" s="3"/>
      <c r="S14" s="3"/>
      <c r="T14" s="3"/>
      <c r="U14" s="3"/>
      <c r="V14" s="3"/>
      <c r="W14" s="3"/>
      <c r="X14" s="3"/>
      <c r="Y14" s="3"/>
      <c r="Z14" s="3"/>
    </row>
    <row r="15" ht="11.25" customHeight="1">
      <c r="A15" s="9"/>
      <c r="B15" s="10"/>
      <c r="C15" s="5">
        <v>46036.0</v>
      </c>
      <c r="D15" s="6"/>
      <c r="E15" s="7">
        <v>3.0</v>
      </c>
      <c r="F15" s="8"/>
      <c r="G15" s="3"/>
      <c r="H15" s="3"/>
      <c r="I15" s="3"/>
      <c r="J15" s="3"/>
      <c r="K15" s="3"/>
      <c r="L15" s="3"/>
      <c r="M15" s="3"/>
      <c r="N15" s="3"/>
      <c r="O15" s="3"/>
      <c r="P15" s="3"/>
      <c r="Q15" s="3"/>
      <c r="R15" s="3"/>
      <c r="S15" s="3"/>
      <c r="T15" s="3"/>
      <c r="U15" s="3"/>
      <c r="V15" s="3"/>
      <c r="W15" s="3"/>
      <c r="X15" s="3"/>
      <c r="Y15" s="3"/>
      <c r="Z15" s="3"/>
    </row>
    <row r="16" ht="11.25" customHeight="1">
      <c r="A16" s="9"/>
      <c r="B16" s="10"/>
      <c r="C16" s="5">
        <v>46037.0</v>
      </c>
      <c r="D16" s="6"/>
      <c r="E16" s="7">
        <v>4.0</v>
      </c>
      <c r="F16" s="8"/>
      <c r="G16" s="3"/>
      <c r="H16" s="3"/>
      <c r="I16" s="3"/>
      <c r="J16" s="3"/>
      <c r="K16" s="3"/>
      <c r="L16" s="3"/>
      <c r="M16" s="3"/>
      <c r="N16" s="3"/>
      <c r="O16" s="3"/>
      <c r="P16" s="3"/>
      <c r="Q16" s="3"/>
      <c r="R16" s="3"/>
      <c r="S16" s="3"/>
      <c r="T16" s="3"/>
      <c r="U16" s="3"/>
      <c r="V16" s="3"/>
      <c r="W16" s="3"/>
      <c r="X16" s="3"/>
      <c r="Y16" s="3"/>
      <c r="Z16" s="3"/>
    </row>
    <row r="17" ht="11.25" customHeight="1">
      <c r="A17" s="11"/>
      <c r="B17" s="10"/>
      <c r="C17" s="5">
        <v>46038.0</v>
      </c>
      <c r="D17" s="6"/>
      <c r="E17" s="7">
        <v>4.0</v>
      </c>
      <c r="F17" s="8"/>
      <c r="G17" s="3"/>
      <c r="H17" s="3"/>
      <c r="I17" s="3"/>
      <c r="J17" s="3"/>
      <c r="K17" s="3"/>
      <c r="L17" s="3"/>
      <c r="M17" s="3"/>
      <c r="N17" s="3"/>
      <c r="O17" s="3"/>
      <c r="P17" s="3"/>
      <c r="Q17" s="3"/>
      <c r="R17" s="3"/>
      <c r="S17" s="3"/>
      <c r="T17" s="3"/>
      <c r="U17" s="3"/>
      <c r="V17" s="3"/>
      <c r="W17" s="3"/>
      <c r="X17" s="3"/>
      <c r="Y17" s="3"/>
      <c r="Z17" s="3"/>
    </row>
    <row r="18" ht="11.25" customHeight="1">
      <c r="A18" s="13" t="s">
        <v>11</v>
      </c>
      <c r="B18" s="14"/>
      <c r="C18" s="15"/>
      <c r="D18" s="16"/>
      <c r="E18" s="17">
        <f>SUM(E13:E17)</f>
        <v>17</v>
      </c>
      <c r="F18" s="8"/>
      <c r="G18" s="3"/>
      <c r="H18" s="3"/>
      <c r="I18" s="3"/>
      <c r="J18" s="3"/>
      <c r="K18" s="3"/>
      <c r="L18" s="3"/>
      <c r="M18" s="3"/>
      <c r="N18" s="3"/>
      <c r="O18" s="3"/>
      <c r="P18" s="3"/>
      <c r="Q18" s="3"/>
      <c r="R18" s="3"/>
      <c r="S18" s="3"/>
      <c r="T18" s="3"/>
      <c r="U18" s="3"/>
      <c r="V18" s="3"/>
      <c r="W18" s="3"/>
      <c r="X18" s="3"/>
      <c r="Y18" s="3"/>
      <c r="Z18" s="3"/>
    </row>
    <row r="19" ht="11.25" customHeight="1">
      <c r="A19" s="4" t="s">
        <v>24</v>
      </c>
      <c r="B19" s="10"/>
      <c r="C19" s="5">
        <v>46041.0</v>
      </c>
      <c r="D19" s="6"/>
      <c r="E19" s="7">
        <v>4.0</v>
      </c>
      <c r="F19" s="8"/>
      <c r="G19" s="3"/>
      <c r="H19" s="3"/>
      <c r="I19" s="3"/>
      <c r="J19" s="3"/>
      <c r="K19" s="3"/>
      <c r="L19" s="3"/>
      <c r="M19" s="3"/>
      <c r="N19" s="3"/>
      <c r="O19" s="3"/>
      <c r="P19" s="3"/>
      <c r="Q19" s="3"/>
      <c r="R19" s="3"/>
      <c r="S19" s="3"/>
      <c r="T19" s="3"/>
      <c r="U19" s="3"/>
      <c r="V19" s="3"/>
      <c r="W19" s="3"/>
      <c r="X19" s="3"/>
      <c r="Y19" s="3"/>
      <c r="Z19" s="3"/>
    </row>
    <row r="20" ht="11.25" customHeight="1">
      <c r="A20" s="9"/>
      <c r="B20" s="10"/>
      <c r="C20" s="5">
        <v>46042.0</v>
      </c>
      <c r="D20" s="6"/>
      <c r="E20" s="7">
        <v>3.0</v>
      </c>
      <c r="F20" s="8"/>
      <c r="G20" s="3"/>
      <c r="H20" s="3"/>
      <c r="I20" s="3"/>
      <c r="J20" s="3"/>
      <c r="K20" s="3"/>
      <c r="L20" s="3"/>
      <c r="M20" s="3"/>
      <c r="N20" s="3"/>
      <c r="O20" s="3"/>
      <c r="P20" s="3"/>
      <c r="Q20" s="3"/>
      <c r="R20" s="3"/>
      <c r="S20" s="3"/>
      <c r="T20" s="3"/>
      <c r="U20" s="3"/>
      <c r="V20" s="3"/>
      <c r="W20" s="3"/>
      <c r="X20" s="3"/>
      <c r="Y20" s="3"/>
      <c r="Z20" s="3"/>
    </row>
    <row r="21" ht="11.25" customHeight="1">
      <c r="A21" s="9"/>
      <c r="B21" s="10"/>
      <c r="C21" s="5">
        <v>46043.0</v>
      </c>
      <c r="D21" s="6"/>
      <c r="E21" s="7">
        <v>4.0</v>
      </c>
      <c r="F21" s="8"/>
      <c r="G21" s="3"/>
      <c r="H21" s="3"/>
      <c r="I21" s="3"/>
      <c r="J21" s="3"/>
      <c r="K21" s="3"/>
      <c r="L21" s="3"/>
      <c r="M21" s="3"/>
      <c r="N21" s="3"/>
      <c r="O21" s="3"/>
      <c r="P21" s="3"/>
      <c r="Q21" s="3"/>
      <c r="R21" s="3"/>
      <c r="S21" s="3"/>
      <c r="T21" s="3"/>
      <c r="U21" s="3"/>
      <c r="V21" s="3"/>
      <c r="W21" s="3"/>
      <c r="X21" s="3"/>
      <c r="Y21" s="3"/>
      <c r="Z21" s="3"/>
    </row>
    <row r="22" ht="11.25" customHeight="1">
      <c r="A22" s="9"/>
      <c r="B22" s="10"/>
      <c r="C22" s="5">
        <v>46044.0</v>
      </c>
      <c r="D22" s="6"/>
      <c r="E22" s="7">
        <v>1.0</v>
      </c>
      <c r="F22" s="8"/>
      <c r="G22" s="3"/>
      <c r="H22" s="3"/>
      <c r="I22" s="3"/>
      <c r="J22" s="3"/>
      <c r="K22" s="3"/>
      <c r="L22" s="3"/>
      <c r="M22" s="3"/>
      <c r="N22" s="3"/>
      <c r="O22" s="3"/>
      <c r="P22" s="3"/>
      <c r="Q22" s="3"/>
      <c r="R22" s="3"/>
      <c r="S22" s="3"/>
      <c r="T22" s="3"/>
      <c r="U22" s="3"/>
      <c r="V22" s="3"/>
      <c r="W22" s="3"/>
      <c r="X22" s="3"/>
      <c r="Y22" s="3"/>
      <c r="Z22" s="3"/>
    </row>
    <row r="23" ht="11.25" customHeight="1">
      <c r="A23" s="11"/>
      <c r="B23" s="10"/>
      <c r="C23" s="5">
        <v>46046.0</v>
      </c>
      <c r="D23" s="6"/>
      <c r="E23" s="7">
        <v>2.0</v>
      </c>
      <c r="F23" s="21"/>
      <c r="G23" s="3"/>
      <c r="H23" s="3"/>
      <c r="I23" s="3"/>
      <c r="J23" s="3"/>
      <c r="K23" s="3"/>
      <c r="L23" s="3"/>
      <c r="M23" s="3"/>
      <c r="N23" s="3"/>
      <c r="O23" s="3"/>
      <c r="P23" s="3"/>
      <c r="Q23" s="3"/>
      <c r="R23" s="3"/>
      <c r="S23" s="3"/>
      <c r="T23" s="3"/>
      <c r="U23" s="3"/>
      <c r="V23" s="3"/>
      <c r="W23" s="3"/>
      <c r="X23" s="3"/>
      <c r="Y23" s="3"/>
      <c r="Z23" s="3"/>
    </row>
    <row r="24" ht="11.25" customHeight="1">
      <c r="A24" s="13" t="s">
        <v>11</v>
      </c>
      <c r="B24" s="14"/>
      <c r="C24" s="5"/>
      <c r="D24" s="16"/>
      <c r="E24" s="17">
        <f>SUM(E19:E23)</f>
        <v>14</v>
      </c>
      <c r="F24" s="8"/>
      <c r="G24" s="3"/>
      <c r="H24" s="3"/>
      <c r="I24" s="3"/>
      <c r="J24" s="3"/>
      <c r="K24" s="3"/>
      <c r="L24" s="3"/>
      <c r="M24" s="3"/>
      <c r="N24" s="3"/>
      <c r="O24" s="3"/>
      <c r="P24" s="3"/>
      <c r="Q24" s="3"/>
      <c r="R24" s="3"/>
      <c r="S24" s="3"/>
      <c r="T24" s="3"/>
      <c r="U24" s="3"/>
      <c r="V24" s="3"/>
      <c r="W24" s="3"/>
      <c r="X24" s="3"/>
      <c r="Y24" s="3"/>
      <c r="Z24" s="3"/>
    </row>
    <row r="25" ht="11.25" customHeight="1">
      <c r="A25" s="20" t="s">
        <v>48</v>
      </c>
      <c r="B25" s="10"/>
      <c r="D25" s="10"/>
      <c r="E25" s="7"/>
      <c r="F25" s="8"/>
      <c r="G25" s="3"/>
      <c r="H25" s="3"/>
      <c r="I25" s="3"/>
      <c r="J25" s="3"/>
      <c r="K25" s="3"/>
      <c r="L25" s="3"/>
      <c r="M25" s="3"/>
      <c r="N25" s="3"/>
      <c r="O25" s="3"/>
      <c r="P25" s="3"/>
      <c r="Q25" s="3"/>
      <c r="R25" s="3"/>
      <c r="S25" s="3"/>
      <c r="T25" s="3"/>
      <c r="U25" s="3"/>
      <c r="V25" s="3"/>
      <c r="W25" s="3"/>
      <c r="X25" s="3"/>
      <c r="Y25" s="3"/>
      <c r="Z25" s="3"/>
    </row>
    <row r="26" ht="11.25" customHeight="1">
      <c r="A26" s="9"/>
      <c r="B26" s="10"/>
      <c r="C26" s="5">
        <v>46048.0</v>
      </c>
      <c r="D26" s="6"/>
      <c r="E26" s="7">
        <v>3.0</v>
      </c>
      <c r="F26" s="8"/>
      <c r="G26" s="3"/>
      <c r="H26" s="3"/>
      <c r="I26" s="3"/>
      <c r="J26" s="3"/>
      <c r="K26" s="3"/>
      <c r="L26" s="3"/>
      <c r="M26" s="3"/>
      <c r="N26" s="3"/>
      <c r="O26" s="3"/>
      <c r="P26" s="3"/>
      <c r="Q26" s="3"/>
      <c r="R26" s="3"/>
      <c r="S26" s="3"/>
      <c r="T26" s="3"/>
      <c r="U26" s="3"/>
      <c r="V26" s="3"/>
      <c r="W26" s="3"/>
      <c r="X26" s="3"/>
      <c r="Y26" s="3"/>
      <c r="Z26" s="3"/>
    </row>
    <row r="27" ht="11.25" customHeight="1">
      <c r="A27" s="9"/>
      <c r="B27" s="10"/>
      <c r="C27" s="5">
        <v>46049.0</v>
      </c>
      <c r="D27" s="6"/>
      <c r="E27" s="7">
        <v>3.0</v>
      </c>
      <c r="F27" s="8"/>
      <c r="G27" s="3"/>
      <c r="H27" s="3"/>
      <c r="I27" s="3"/>
      <c r="J27" s="3"/>
      <c r="K27" s="3"/>
      <c r="L27" s="3"/>
      <c r="M27" s="3"/>
      <c r="N27" s="3"/>
      <c r="O27" s="3"/>
      <c r="P27" s="3"/>
      <c r="Q27" s="3"/>
      <c r="R27" s="3"/>
      <c r="S27" s="3"/>
      <c r="T27" s="3"/>
      <c r="U27" s="3"/>
      <c r="V27" s="3"/>
      <c r="W27" s="3"/>
      <c r="X27" s="3"/>
      <c r="Y27" s="3"/>
      <c r="Z27" s="3"/>
    </row>
    <row r="28" ht="11.25" customHeight="1">
      <c r="A28" s="9"/>
      <c r="B28" s="10"/>
      <c r="C28" s="5">
        <v>46050.0</v>
      </c>
      <c r="D28" s="6"/>
      <c r="E28" s="7">
        <v>3.0</v>
      </c>
      <c r="F28" s="8"/>
      <c r="G28" s="3"/>
      <c r="H28" s="3"/>
      <c r="I28" s="3"/>
      <c r="J28" s="3"/>
      <c r="K28" s="3"/>
      <c r="L28" s="3"/>
      <c r="M28" s="3"/>
      <c r="N28" s="3"/>
      <c r="O28" s="3"/>
      <c r="P28" s="3"/>
      <c r="Q28" s="3"/>
      <c r="R28" s="3"/>
      <c r="S28" s="3"/>
      <c r="T28" s="3"/>
      <c r="U28" s="3"/>
      <c r="V28" s="3"/>
      <c r="W28" s="3"/>
      <c r="X28" s="3"/>
      <c r="Y28" s="3"/>
      <c r="Z28" s="3"/>
    </row>
    <row r="29" ht="11.25" customHeight="1">
      <c r="A29" s="9"/>
      <c r="B29" s="10"/>
      <c r="C29" s="5">
        <v>46051.0</v>
      </c>
      <c r="D29" s="6"/>
      <c r="E29" s="7">
        <v>3.0</v>
      </c>
      <c r="F29" s="8"/>
      <c r="G29" s="3"/>
      <c r="H29" s="3"/>
      <c r="I29" s="3"/>
      <c r="J29" s="3"/>
      <c r="K29" s="3"/>
      <c r="L29" s="3"/>
      <c r="M29" s="3"/>
      <c r="N29" s="3"/>
      <c r="O29" s="3"/>
      <c r="P29" s="3"/>
      <c r="Q29" s="3"/>
      <c r="R29" s="3"/>
      <c r="S29" s="3"/>
      <c r="T29" s="3"/>
      <c r="U29" s="3"/>
      <c r="V29" s="3"/>
      <c r="W29" s="3"/>
      <c r="X29" s="3"/>
      <c r="Y29" s="3"/>
      <c r="Z29" s="3"/>
    </row>
    <row r="30" ht="11.25" customHeight="1">
      <c r="A30" s="11"/>
      <c r="B30" s="10"/>
      <c r="C30" s="5">
        <v>46052.0</v>
      </c>
      <c r="D30" s="6"/>
      <c r="E30" s="7">
        <v>3.0</v>
      </c>
      <c r="F30" s="8"/>
      <c r="G30" s="3"/>
      <c r="H30" s="3"/>
      <c r="I30" s="3"/>
      <c r="J30" s="3"/>
      <c r="K30" s="3"/>
      <c r="L30" s="3"/>
      <c r="M30" s="3"/>
      <c r="N30" s="3"/>
      <c r="O30" s="3"/>
      <c r="P30" s="3"/>
      <c r="Q30" s="3"/>
      <c r="R30" s="3"/>
      <c r="S30" s="3"/>
      <c r="T30" s="3"/>
      <c r="U30" s="3"/>
      <c r="V30" s="3"/>
      <c r="W30" s="3"/>
      <c r="X30" s="3"/>
      <c r="Y30" s="3"/>
      <c r="Z30" s="3"/>
    </row>
    <row r="31" ht="11.25" customHeight="1">
      <c r="A31" s="13" t="s">
        <v>11</v>
      </c>
      <c r="B31" s="14"/>
      <c r="C31" s="5"/>
      <c r="D31" s="16"/>
      <c r="E31" s="17">
        <f>SUM(E25:E30)</f>
        <v>15</v>
      </c>
      <c r="F31" s="8"/>
      <c r="G31" s="3"/>
      <c r="H31" s="3"/>
      <c r="I31" s="3"/>
      <c r="J31" s="3"/>
      <c r="K31" s="3"/>
      <c r="L31" s="3"/>
      <c r="M31" s="3"/>
      <c r="N31" s="3"/>
      <c r="O31" s="3"/>
      <c r="P31" s="3"/>
      <c r="Q31" s="3"/>
      <c r="R31" s="3"/>
      <c r="S31" s="3"/>
      <c r="T31" s="3"/>
      <c r="U31" s="3"/>
      <c r="V31" s="3"/>
      <c r="W31" s="3"/>
      <c r="X31" s="3"/>
      <c r="Y31" s="3"/>
      <c r="Z31" s="3"/>
    </row>
    <row r="32" ht="11.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1.25" customHeight="1">
      <c r="A33" s="3"/>
      <c r="B33" s="3"/>
      <c r="C33" s="3"/>
      <c r="D33" s="18" t="s">
        <v>29</v>
      </c>
      <c r="E33" s="19">
        <f>SUM(E31+E24+E18+E12+E6)</f>
        <v>69</v>
      </c>
      <c r="F33" s="3"/>
      <c r="G33" s="3"/>
      <c r="H33" s="3"/>
      <c r="I33" s="3"/>
      <c r="J33" s="3"/>
      <c r="K33" s="3"/>
      <c r="L33" s="3"/>
      <c r="M33" s="3"/>
      <c r="N33" s="3"/>
      <c r="O33" s="3"/>
      <c r="P33" s="3"/>
      <c r="Q33" s="3"/>
      <c r="R33" s="3"/>
      <c r="S33" s="3"/>
      <c r="T33" s="3"/>
      <c r="U33" s="3"/>
      <c r="V33" s="3"/>
      <c r="W33" s="3"/>
      <c r="X33" s="3"/>
      <c r="Y33" s="3"/>
      <c r="Z33" s="3"/>
    </row>
    <row r="34" ht="11.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1.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1.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1.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1.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1.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1.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1.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1.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1.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1.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1.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1.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1.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1.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1.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1.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1.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1.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1.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1.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1.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1.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1.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1.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1.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1.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1.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1.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1.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1.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1.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1.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1.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1.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1.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1.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1.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1.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1.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1.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1.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1.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1.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1.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1.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1.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1.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1.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1.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1.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1.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1.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1.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1.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1.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1.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1.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1.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1.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1.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1.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1.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1.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1.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1.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1.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1.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1.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1.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1.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1.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1.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1.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1.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1.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1.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1.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1.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1.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1.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1.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1.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1.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1.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1.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1.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1.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1.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1.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1.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1.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1.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1.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1.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1.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1.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1.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1.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1.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1.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1.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1.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1.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1.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1.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1.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1.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1.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1.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1.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1.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1.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1.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1.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1.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1.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1.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1.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1.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1.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1.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1.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1.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1.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1.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1.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1.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1.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1.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1.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1.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1.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1.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1.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1.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1.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1.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1.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1.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1.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1.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1.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1.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1.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1.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1.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1.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1.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1.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1.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1.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1.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1.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1.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1.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1.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1.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1.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1.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1.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1.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1.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1.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1.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1.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1.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1.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1.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1.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1.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1.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1.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1.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1.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1.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1.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1.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1.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1.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1.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1.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1.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1.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1.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1.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1.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1.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1.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1.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1.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1.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1.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1.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1.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1.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1.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1.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1.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1.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1.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1.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1.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1.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1.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1.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1.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1.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1.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1.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1.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1.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1.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1.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1.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1.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1.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1.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1.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1.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1.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1.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1.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1.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1.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1.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1.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1.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1.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1.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1.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1.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1.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1.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1.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1.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1.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1.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1.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1.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1.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1.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1.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1.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1.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1.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1.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1.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1.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1.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1.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1.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1.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1.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1.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1.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1.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1.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1.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1.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1.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1.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1.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1.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1.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1.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1.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1.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1.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1.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1.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1.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1.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1.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1.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1.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1.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1.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1.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1.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1.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1.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1.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1.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1.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1.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1.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1.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1.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1.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1.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1.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1.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1.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1.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1.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1.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1.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1.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1.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1.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1.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1.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1.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1.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1.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1.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1.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1.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1.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1.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1.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1.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1.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1.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1.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1.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1.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1.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1.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1.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1.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1.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1.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1.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1.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1.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1.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1.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1.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1.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1.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1.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1.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1.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1.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1.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1.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1.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1.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1.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1.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1.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1.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1.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1.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1.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1.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1.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1.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1.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1.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1.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1.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1.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1.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1.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1.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1.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1.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1.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1.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1.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1.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1.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1.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1.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1.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1.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1.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1.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1.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1.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1.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1.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1.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1.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1.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1.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1.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1.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1.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1.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1.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1.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1.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1.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1.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1.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1.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1.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1.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1.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1.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1.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1.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1.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1.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1.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1.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1.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1.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1.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1.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1.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1.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1.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1.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1.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1.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1.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1.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1.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1.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1.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1.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1.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1.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1.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1.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1.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1.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1.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1.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1.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1.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1.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1.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1.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1.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1.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1.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1.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1.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1.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1.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1.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1.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1.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1.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1.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1.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1.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1.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1.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1.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1.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1.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1.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1.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1.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1.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1.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1.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1.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1.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1.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1.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1.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1.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1.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1.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1.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1.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1.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1.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1.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1.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1.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1.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1.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1.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1.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1.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1.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1.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1.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1.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1.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1.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1.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1.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1.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1.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1.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1.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1.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1.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1.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1.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1.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1.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1.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1.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1.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1.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1.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1.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1.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1.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1.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1.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1.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1.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1.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1.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1.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1.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1.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1.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1.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1.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1.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1.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1.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1.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1.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1.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1.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1.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1.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1.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1.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1.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1.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1.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1.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1.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1.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1.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1.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1.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1.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1.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1.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1.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1.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1.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1.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1.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1.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1.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1.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1.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1.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1.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1.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1.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1.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1.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1.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1.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1.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1.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1.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1.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1.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1.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1.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1.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1.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1.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1.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1.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1.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1.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1.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1.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1.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1.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1.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1.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1.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1.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1.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1.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1.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1.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1.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1.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1.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1.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1.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1.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1.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1.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1.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1.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1.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1.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1.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1.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1.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1.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1.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1.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1.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1.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1.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1.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1.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1.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1.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1.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1.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1.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1.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1.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1.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1.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1.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1.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1.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1.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1.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1.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1.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1.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1.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1.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1.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1.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1.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1.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1.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1.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1.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1.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1.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1.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1.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1.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1.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1.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1.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1.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1.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1.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1.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1.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1.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1.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1.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1.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1.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1.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1.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1.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1.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1.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1.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1.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1.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1.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1.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1.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1.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1.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1.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1.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1.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1.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1.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1.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1.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1.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1.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1.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1.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1.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1.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1.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1.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1.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1.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1.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1.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1.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1.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1.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1.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1.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1.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1.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1.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1.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1.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1.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1.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1.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1.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1.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1.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1.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1.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1.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1.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1.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1.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1.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1.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1.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1.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1.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1.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1.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1.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1.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1.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1.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1.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1.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1.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1.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1.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1.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1.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1.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1.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1.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1.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1.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1.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1.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1.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1.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1.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1.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1.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1.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1.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1.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1.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1.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1.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1.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1.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1.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1.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1.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1.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1.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1.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1.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1.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1.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1.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1.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1.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1.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1.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1.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1.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1.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1.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1.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1.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1.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1.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1.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1.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1.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1.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1.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1.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1.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1.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1.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1.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1.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1.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1.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1.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1.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1.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1.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1.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1.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1.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1.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1.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1.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1.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1.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1.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1.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1.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1.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1.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1.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1.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1.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1.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1.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1.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1.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1.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1.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1.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1.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1.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1.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1.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1.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1.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1.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1.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1.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1.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1.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1.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1.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1.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1.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1.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1.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1.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1.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1.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1.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1.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1.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1.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1.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1.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1.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1.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1.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1.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1.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1.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1.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1.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1.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1.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1.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1.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1.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1.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1.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1.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1.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1.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1.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1.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1.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1.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1.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1.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1.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1.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1.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1.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1.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1.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1.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1.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1.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1.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1.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1.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1.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1.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1.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1.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1.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1.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1.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1.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1.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1.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1.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1.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1.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1.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1.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1.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1.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1.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1.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1.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1.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1.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1.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1.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1.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1.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1.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1.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1.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1.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1.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1.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1.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1.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1.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1.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1.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1.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1.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1.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1.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1.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1.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1.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1.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1.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1.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1.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1.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1.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1.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1.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1.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1.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1.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1.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1.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1.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1.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1.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1.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1.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1.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1.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1.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1.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1.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1.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1.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1.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1.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1.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1.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1.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1.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1.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1.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1.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1.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1.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1.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1.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1.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1.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1.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1.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1.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1.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1.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1.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1.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1.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1.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1.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1.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1.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1.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1.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1.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1.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1.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1.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1.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1.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1.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1.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1.2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1.2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1.2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1.2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1.2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1.2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sheetData>
  <mergeCells count="5">
    <mergeCell ref="A2:A5"/>
    <mergeCell ref="A7:A11"/>
    <mergeCell ref="A13:A17"/>
    <mergeCell ref="A19:A23"/>
    <mergeCell ref="A25:A3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2024-08-28T19:53:22Z</dcterms:created>
  <dc:creator>AI Company</dc:creator>
</cp:coreProperties>
</file>